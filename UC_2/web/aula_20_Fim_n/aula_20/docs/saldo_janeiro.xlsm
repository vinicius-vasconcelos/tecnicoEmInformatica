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1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fileSharing userName="ana.cscainoni" algorithmName="SHA-512" hashValue="WkmhYrLMBDRTSnNgKjc86FZTkBHRhE/RqkmG4r5cctpMnyVdc6Y+3GTJ0miyJ52fk46kkvAAv7Ep5mfZ+1s6Eg==" saltValue="I4nc1SRpSVnAkbPQIUdo4Q==" spinCount="10000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Administracao\Saldo de Horas\Saldo de Horas Dezembro\"/>
    </mc:Choice>
  </mc:AlternateContent>
  <workbookProtection workbookAlgorithmName="SHA-512" workbookHashValue="dH2Zv7H6YvhrOCvV4BeTBdPrsnd7krkKwnhGhXHzgpyDzniK0m67Q90wl38uk0frHJXVFqxgq0Zp9VVRLhLNrA==" workbookSaltValue="+9zYygN4/9Cqj+I2YAU+7Q==" workbookSpinCount="100000" lockStructure="1"/>
  <bookViews>
    <workbookView xWindow="0" yWindow="0" windowWidth="21600" windowHeight="9735" firstSheet="1" activeTab="1"/>
  </bookViews>
  <sheets>
    <sheet name="Dados" sheetId="1" state="hidden" r:id="rId1"/>
    <sheet name="Plan1" sheetId="2" r:id="rId2"/>
    <sheet name="Plan2" sheetId="3" state="hidden" r:id="rId3"/>
    <sheet name="Senha" sheetId="4" state="hidden" r:id="rId4"/>
  </sheets>
  <calcPr calcId="162913"/>
  <customWorkbookViews>
    <customWorkbookView name="Ana Carolina Silva Scainoni - Modo de exibição pessoal" guid="{D18E9169-ADA2-4392-B488-25F4D67B7B23}" mergeInterval="0" personalView="1" maximized="1" xWindow="-8" yWindow="-8" windowWidth="1936" windowHeight="1056" activeSheetId="2"/>
    <customWorkbookView name="Robert Lucas Galvao da Fonseca - Modo de exibição pessoal" guid="{89F529CE-CEE2-4840-81F9-3A5B94AB5264}" mergeInterval="0" personalView="1" maximized="1" xWindow="-8" yWindow="-8" windowWidth="1296" windowHeight="1000" activeSheetId="2"/>
    <customWorkbookView name="Adm Ppr - Modo de exibição pessoal" guid="{F8BE6937-468A-4F6A-8E70-5AA120E9866E}" mergeInterval="0" personalView="1" maximized="1" xWindow="-8" yWindow="-8" windowWidth="1040" windowHeight="744" activeSheetId="2"/>
    <customWorkbookView name="Ana Cristina Costa Scudelari - Modo de exibição pessoal" guid="{0E0A957C-04A9-42C8-ABA3-3513FC1F301B}" mergeInterval="0" personalView="1" maximized="1" xWindow="-8" yWindow="-8" windowWidth="1456" windowHeight="876" activeSheetId="2"/>
    <customWorkbookView name="Paulo Junior Ferreira Teotonio - Modo de exibição pessoal" guid="{49F7AF24-77AB-4269-A110-0D2F07E12FB4}" mergeInterval="0" personalView="1" maximized="1" xWindow="-8" yWindow="-8" windowWidth="1456" windowHeight="876" activeSheetId="2"/>
    <customWorkbookView name="Arthur Ken Iwama de Mello - Modo de exibição pessoal" guid="{52DD4558-3C21-4CE8-A3CE-4A7295AB0882}" mergeInterval="0" personalView="1" maximized="1" xWindow="-8" yWindow="-8" windowWidth="1296" windowHeight="1000" activeSheetId="2"/>
    <customWorkbookView name="jose.ralmeida - Modo de exibição pessoal" guid="{05BCE999-CA29-460C-9019-42DEAB5D08DA}" mergeInterval="0" personalView="1" maximized="1" xWindow="-8" yWindow="-8" windowWidth="1456" windowHeight="876" activeSheetId="2"/>
    <customWorkbookView name="Silvana Vianna Passarello - Modo de exibição pessoal" guid="{E5F88B68-4013-43BC-91FC-4D1B4BE2D858}" mergeInterval="0" personalView="1" maximized="1" xWindow="-8" yWindow="-8" windowWidth="1456" windowHeight="876" activeSheetId="2"/>
    <customWorkbookView name="arthur.kimello - Modo de exibição pessoal" guid="{748ECF6D-D04A-4335-B743-F87DF6CB7A38}" mergeInterval="0" personalView="1" maximized="1" xWindow="-8" yWindow="-8" windowWidth="1456" windowHeight="876" activeSheetId="2"/>
    <customWorkbookView name="ana.cscainoni - Modo de exibição pessoal" guid="{74C1666D-8424-4791-9A03-96D64996021D}" mergeInterval="0" personalView="1" maximized="1" xWindow="-8" yWindow="-8" windowWidth="1456" windowHeight="876" activeSheetId="2" showFormulaBar="0"/>
  </customWorkbookViews>
</workbook>
</file>

<file path=xl/calcChain.xml><?xml version="1.0" encoding="utf-8"?>
<calcChain xmlns="http://schemas.openxmlformats.org/spreadsheetml/2006/main">
  <c r="G10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4" i="1"/>
  <c r="D31" i="2" l="1"/>
  <c r="L26" i="2" l="1" a="1"/>
  <c r="L26" i="2" s="1"/>
  <c r="E26" i="2" a="1"/>
  <c r="E26" i="2" s="1"/>
  <c r="K26" i="2" a="1"/>
  <c r="K26" i="2" s="1"/>
  <c r="J26" i="2" a="1"/>
  <c r="J26" i="2" s="1"/>
  <c r="I26" i="2" a="1"/>
  <c r="I26" i="2" s="1"/>
  <c r="H26" i="2" a="1"/>
  <c r="H26" i="2" s="1"/>
  <c r="G26" i="2" a="1"/>
  <c r="G26" i="2" s="1"/>
  <c r="F26" i="2" a="1"/>
  <c r="F26" i="2" s="1"/>
</calcChain>
</file>

<file path=xl/sharedStrings.xml><?xml version="1.0" encoding="utf-8"?>
<sst xmlns="http://schemas.openxmlformats.org/spreadsheetml/2006/main" count="1004" uniqueCount="514">
  <si>
    <t xml:space="preserve">ADRIANA RURIKO SHIMABUKURO                                              </t>
  </si>
  <si>
    <t xml:space="preserve">ALESSANDRA ORTIZ BARBOSA                                                 </t>
  </si>
  <si>
    <t xml:space="preserve">ALEXANDRE RENA                                                                       </t>
  </si>
  <si>
    <t xml:space="preserve">ANA CAROLINA SILVA SCAINONI                                                </t>
  </si>
  <si>
    <t xml:space="preserve">ANA CRISTINA COSTA SCUDELARI                                            </t>
  </si>
  <si>
    <t xml:space="preserve">ANA SALETE MORENO                                                                </t>
  </si>
  <si>
    <t xml:space="preserve">ANDERSON RODRIGUES                                                             </t>
  </si>
  <si>
    <t xml:space="preserve">ANDREIA PAULA FERRACIOLI MARQUES                                  </t>
  </si>
  <si>
    <t xml:space="preserve">ANELIESE MARIA MARTINS                                                        </t>
  </si>
  <si>
    <t xml:space="preserve">ANGELO ADALBERTO TONON                                                    </t>
  </si>
  <si>
    <t xml:space="preserve">ANTONIO TADEU DA COSTA                                                       </t>
  </si>
  <si>
    <t xml:space="preserve">ARTHUR KEN IWAMA DE MELLO                                                </t>
  </si>
  <si>
    <t xml:space="preserve">CASSIA HELENA RODRIGUES                                                    </t>
  </si>
  <si>
    <t xml:space="preserve">CECILIA MARIA PRATES DE FREITAS                                        </t>
  </si>
  <si>
    <t xml:space="preserve">CLAUDIA DE SOUZA KNOPP RODRIGUES                                 </t>
  </si>
  <si>
    <t xml:space="preserve">CLAUDIA VENERIO GARCIA DIAS                                               </t>
  </si>
  <si>
    <t xml:space="preserve">CLEYBER LUCIANO VIEIRA                                                         </t>
  </si>
  <si>
    <t xml:space="preserve">CRISTIANE REGINA HERNANDES ALVES DOS SANTOS          </t>
  </si>
  <si>
    <t xml:space="preserve">DANILO FILITTO                                                                            </t>
  </si>
  <si>
    <t xml:space="preserve">DANILO MOREL PINTO                                                                 </t>
  </si>
  <si>
    <t xml:space="preserve">EDELVITA DOS SANTOS MOREIRA                                            </t>
  </si>
  <si>
    <t xml:space="preserve">EDILEUSA MARIA COSTA MARQUES                                         </t>
  </si>
  <si>
    <t xml:space="preserve">ELAINE BRITO DA CUNHA ORTIZ                                                </t>
  </si>
  <si>
    <t xml:space="preserve">ELAINE GOMES DA SILVA                                                           </t>
  </si>
  <si>
    <t xml:space="preserve">ELAINE VENENO GONZALEZ ALVES                                          </t>
  </si>
  <si>
    <t xml:space="preserve">ELIANE RIGOLIN MENDES DE ARAUJO                                      </t>
  </si>
  <si>
    <t xml:space="preserve">ELIZABETH EMIKO KATAYAMA BICALHO                                  </t>
  </si>
  <si>
    <t xml:space="preserve">EVELIN REGINA SENE DAWLA                                                   </t>
  </si>
  <si>
    <t xml:space="preserve">EVELISE RAQUEL DE PONTES MASSUIA                                  </t>
  </si>
  <si>
    <t xml:space="preserve">FABIANA NEME NOGUEIRA RAMOS                                          </t>
  </si>
  <si>
    <t xml:space="preserve">FABIANI MOREIRA GREGORIO                                                   </t>
  </si>
  <si>
    <t xml:space="preserve">FABRICIO JOSE CUZZATTI                                                           </t>
  </si>
  <si>
    <t xml:space="preserve">FATIMA APARECIDA ZAINI                                                           </t>
  </si>
  <si>
    <t xml:space="preserve">FERNANDA LUCIA MAIOLI                                                           </t>
  </si>
  <si>
    <t xml:space="preserve">FERNANDA MELO MENDEZ                                                        </t>
  </si>
  <si>
    <t xml:space="preserve">FERNANDA TEIXEIRA ANANIAS                                                  </t>
  </si>
  <si>
    <t>ID</t>
  </si>
  <si>
    <t>SD FINAL POSITIVO</t>
  </si>
  <si>
    <t>SD FINAL NEGATIVO</t>
  </si>
  <si>
    <t>Crédito</t>
  </si>
  <si>
    <t>Débito</t>
  </si>
  <si>
    <t>TALITA DA SILVA CARLOS</t>
  </si>
  <si>
    <t>SILVANA CRISTINA MORAES LEAL</t>
  </si>
  <si>
    <t>C O N S U L T A - B A N C O   D E   H O R A S</t>
  </si>
  <si>
    <t>I.D</t>
  </si>
  <si>
    <t>SENHA</t>
  </si>
  <si>
    <t>M</t>
  </si>
  <si>
    <t>GABRIEL JUNIOR DA SILVA CORDEIRO</t>
  </si>
  <si>
    <t>GISLAINE DE OLIVEIRA PRODOMO COSTA</t>
  </si>
  <si>
    <t>HELGA MONCAO SHIRANE KORCH</t>
  </si>
  <si>
    <t>HERMILO ALVES DE LUNAS</t>
  </si>
  <si>
    <t>HUDSON GASPAR DA SILVA</t>
  </si>
  <si>
    <t>IRAIANA RAMOS MARIOTTE</t>
  </si>
  <si>
    <t>ISABEL APARECIDA PINTO</t>
  </si>
  <si>
    <t>ISABELA SAMOGIM DOS SANTOS</t>
  </si>
  <si>
    <t>JANAINA TORRES MANZOLI</t>
  </si>
  <si>
    <t>JOSE ANTONIO GONCALVES JUNIOR</t>
  </si>
  <si>
    <t>JOSE CAMILO DE SOUZA NETO</t>
  </si>
  <si>
    <t>JOSE CARLOS FRANCO DOMINGOS</t>
  </si>
  <si>
    <t>JOSE RENATO DE ALMEIDA</t>
  </si>
  <si>
    <t>JOSE ROBERTO MARTINEZ JUNIOR GALINDO</t>
  </si>
  <si>
    <t>JOSEFA MARIA DA SILVA RODRIGUES</t>
  </si>
  <si>
    <t>JOSIANE LEONARDA BONOME DA SILVA CASAROTTI</t>
  </si>
  <si>
    <t>JULIANA SARDO QUIRINO</t>
  </si>
  <si>
    <t>KATIA REGINA DE BRITO JATOBA</t>
  </si>
  <si>
    <t>KENIA MARIA DE FIGUEIREDO</t>
  </si>
  <si>
    <t>LEANDRO FREITAS DA COSTA</t>
  </si>
  <si>
    <t>LIGIA IBOSHI CARAVELLA COLUSSI</t>
  </si>
  <si>
    <t>LILIAN CRISTINA DE SOUZA</t>
  </si>
  <si>
    <t>LUCAS MENDES FERREIRA</t>
  </si>
  <si>
    <t>MARCELO MENOTTI DA SILVA</t>
  </si>
  <si>
    <t>MARCIA DO ROSARIO MARTINS OLIVEIRA</t>
  </si>
  <si>
    <t>MARCOS ANTONIO DO CARMO</t>
  </si>
  <si>
    <t>MARCOS MARTINS DOS SANTOS SILVA</t>
  </si>
  <si>
    <t>MARGARETE SILVA CUBA</t>
  </si>
  <si>
    <t>MARLENE RAMPAZI EUGENIO</t>
  </si>
  <si>
    <t>MEIRE LUCI ZANINELO SILVA</t>
  </si>
  <si>
    <t>MURILO TOLEDO ANDRADE DE OLIVEIRA</t>
  </si>
  <si>
    <t>NADIA ALVES DE SOUZA</t>
  </si>
  <si>
    <t>NATHALIE STEFANIA DA SILVA</t>
  </si>
  <si>
    <t>NATTACIA ROCHA DUARTE RUANI</t>
  </si>
  <si>
    <t>PALMIRO GONCALVES DE FARIAS</t>
  </si>
  <si>
    <t>PAULO FABIANO MIZUNO</t>
  </si>
  <si>
    <t>PAULO JUNIOR FERREIRA TEOTONIO</t>
  </si>
  <si>
    <t>RENATA BENISTERRO HERNANDES</t>
  </si>
  <si>
    <t>RENATO BERTONI</t>
  </si>
  <si>
    <t>RENATO MENDES PLANTIER</t>
  </si>
  <si>
    <t>ROBERT LUCAS GALVAO DA FONSECA</t>
  </si>
  <si>
    <t>ROBSON FIORI DE OLIVEIRA</t>
  </si>
  <si>
    <t>ROSEMEIRE DE JESUS OLIVEIRA BATISTA</t>
  </si>
  <si>
    <t>SEBASTIANA FLORINDA BAGLI</t>
  </si>
  <si>
    <t>SERGIO PEDRO DA SILVA</t>
  </si>
  <si>
    <t>SERGIO RICARDO BARCELOS</t>
  </si>
  <si>
    <t>SILVANA APARECIDA DE SOUZA COSTA</t>
  </si>
  <si>
    <t>SILVANA BRAGHIN MASCOLOTI SPREA</t>
  </si>
  <si>
    <t>SILVANA GABRIEL QUINTINO RODRIGUES</t>
  </si>
  <si>
    <t>SILVANA VIANNA PASSARELLO</t>
  </si>
  <si>
    <t>SILVELANIA SANTOS QUEIROZ</t>
  </si>
  <si>
    <t>SIMONI GONCALVES DE ALMEIDA SANTOS</t>
  </si>
  <si>
    <t>SUZIMARA SILVA DIAS</t>
  </si>
  <si>
    <t>TAVANE MONTEIRO PINTO SAKAGUTI</t>
  </si>
  <si>
    <t>THAIS FLORIANO DA ROSA FAUSTINO</t>
  </si>
  <si>
    <t>THIAGO AUGUSTO OSMUNDO DE LIMA</t>
  </si>
  <si>
    <t>ULISSES PASCHOAL CREPALDI</t>
  </si>
  <si>
    <t>VALDOMIRO LEO DOS SANTOS</t>
  </si>
  <si>
    <t>VALERIA GOBO SILVA</t>
  </si>
  <si>
    <t>VANESSA FABIANA ALEXANDRE DOS SANTOS</t>
  </si>
  <si>
    <t>VANESSA TEODORO DE RESENDE</t>
  </si>
  <si>
    <t>VIVIANE SHINOHARA MUCHIUTTI</t>
  </si>
  <si>
    <t>WILLIAM SOARES SILVEIRA</t>
  </si>
  <si>
    <t>Nome</t>
  </si>
  <si>
    <t>H_Sem</t>
  </si>
  <si>
    <t>SD Final    Positivo</t>
  </si>
  <si>
    <t>SD Final Negativo</t>
  </si>
  <si>
    <t>Horas do Mês</t>
  </si>
  <si>
    <t>NOME DO FUNCIONÁRIO</t>
  </si>
  <si>
    <t>REGIME</t>
  </si>
  <si>
    <t>HS SEMANAL</t>
  </si>
  <si>
    <t>CLASS</t>
  </si>
  <si>
    <t>HORAS DE CRÉDITO</t>
  </si>
  <si>
    <t>abcd</t>
  </si>
  <si>
    <t>IEDA MONIQUE BATISTA</t>
  </si>
  <si>
    <t>JACQUELINE MARTINS DA SILVA</t>
  </si>
  <si>
    <r>
      <rPr>
        <sz val="9"/>
        <rFont val="Arial"/>
        <family val="2"/>
      </rPr>
      <t>M</t>
    </r>
  </si>
  <si>
    <t>4</t>
  </si>
  <si>
    <t>JOICY PRISCILA MAIA CAMPOS</t>
  </si>
  <si>
    <t>JACQUELINE HELOISE SANTOS DE SANTANA</t>
  </si>
  <si>
    <t>ADRIANA RURIKO SHIMABUKURO</t>
  </si>
  <si>
    <t>ALEXANDRE RENA</t>
  </si>
  <si>
    <t>ANA CAROLINA SILVA SCAINONI</t>
  </si>
  <si>
    <t>ANA CRISTINA COSTA SCUDELARI</t>
  </si>
  <si>
    <t>ANA SALETE MORENO</t>
  </si>
  <si>
    <t>ANDERSON RODRIGUES</t>
  </si>
  <si>
    <t>ANDREIA PAULA FERRACIOLI MARQUES</t>
  </si>
  <si>
    <t>CLAUDIA VENERIO GARCIA DIAS</t>
  </si>
  <si>
    <t>CLEYBER LUCIANO VIEIRA</t>
  </si>
  <si>
    <t>DANILO FILITTO</t>
  </si>
  <si>
    <t>EDELVITA DOS SANTOS MOREIRA</t>
  </si>
  <si>
    <t>EDILEUSA MARIA COSTA MARQUES</t>
  </si>
  <si>
    <t>ELAINE BRITO DA CUNHA ORTIZ</t>
  </si>
  <si>
    <t>ELAINE VENENO GONZALEZ ALVES</t>
  </si>
  <si>
    <t>ELIANE RIGOLIN MENDES DE ARAUJO</t>
  </si>
  <si>
    <t>EVELISE RAQUEL DE PONTES MASSUIA</t>
  </si>
  <si>
    <t>FABIANA NEME NOGUEIRA RAMOS</t>
  </si>
  <si>
    <t>FABIANI MOREIRA GREGORIO</t>
  </si>
  <si>
    <t>FABRICIO JOSE CUZZATTI</t>
  </si>
  <si>
    <t>FERNANDA MELO MENDEZ</t>
  </si>
  <si>
    <t>FERNANDA TEIXEIRA ANANIAS DE ALMEIDA</t>
  </si>
  <si>
    <t>FERNANDO JOSE MARINO PEREIRA</t>
  </si>
  <si>
    <t>JANAINA TORRES MANZOLI SOARES</t>
  </si>
  <si>
    <t>THALITA KELLY MOTANO DAQUINTO</t>
  </si>
  <si>
    <t>6</t>
  </si>
  <si>
    <t>3</t>
  </si>
  <si>
    <t>2</t>
  </si>
  <si>
    <t>5</t>
  </si>
  <si>
    <t>efg</t>
  </si>
  <si>
    <t>NILDA DE OLIVEIRA ARAUJO BARROS</t>
  </si>
  <si>
    <t>MATEUS DE CARVALHO</t>
  </si>
  <si>
    <t>VALTER APARECIDO BERCELLI</t>
  </si>
  <si>
    <t>FRANCISCO DUVALCIR DE OLIVEIRA</t>
  </si>
  <si>
    <t>ALINE FELIX DE FRANCA</t>
  </si>
  <si>
    <t>ELAINE GOMES SCOGNAMIGLIO</t>
  </si>
  <si>
    <t>LARISSA DA SILVA CALDAS</t>
  </si>
  <si>
    <t>MARIA LUIZA DA SILVA</t>
  </si>
  <si>
    <t>MARIA LUISA</t>
  </si>
  <si>
    <t>ANA PAULA BUENO GUELFI</t>
  </si>
  <si>
    <t>ANDERSON ROBERTO MENDES GOMES</t>
  </si>
  <si>
    <t>GRACIELLE OLIVEIRA ECHER</t>
  </si>
  <si>
    <t>IEDA MONIQUE BATISTA DOS SANTOS</t>
  </si>
  <si>
    <t>JOSE SANTANA DE ANDRADE JUNIOR</t>
  </si>
  <si>
    <t>LAILA DA SILVA ZOMBINE</t>
  </si>
  <si>
    <t>LILIAN KESSANDRA ASSUNCAO SANTOS</t>
  </si>
  <si>
    <t>PATRICIA NUNES PEDROSA</t>
  </si>
  <si>
    <t>ROBSON RICARDO MOREIRA DA SILVA</t>
  </si>
  <si>
    <t>SUZIMARA DA SILVA DIAS</t>
  </si>
  <si>
    <t>TIAGO PEREIRA RAMOS</t>
  </si>
  <si>
    <t>VIVIANE GOMES DE ALVARENGA</t>
  </si>
  <si>
    <t>WELLINGTON KAYKY FERREIRA DA SILVA</t>
  </si>
  <si>
    <t/>
  </si>
  <si>
    <t>FERNANDO JORGE FRANCISCO</t>
  </si>
  <si>
    <t>GABRIELA CAROLINE SOUZA NERES</t>
  </si>
  <si>
    <t>ANDRE APARECIDO DE SOUZA</t>
  </si>
  <si>
    <t>CARLOS WILLIAN ZANELATO SOUZA</t>
  </si>
  <si>
    <t>0:43</t>
  </si>
  <si>
    <t>EDUARDO HAMED ARIAS</t>
  </si>
  <si>
    <t>MARIANA CAROLINA VASTAG RIBEIRO DE OLIVEIRA</t>
  </si>
  <si>
    <t>RITA DE CASSIA HOLANDA</t>
  </si>
  <si>
    <t>21:48</t>
  </si>
  <si>
    <t>ESTELA MARIS DE LIRA FERNANDES</t>
  </si>
  <si>
    <t>24:01</t>
  </si>
  <si>
    <t>6:13</t>
  </si>
  <si>
    <t>ANA CLAUDIA SCARMANHANI LIMA</t>
  </si>
  <si>
    <t>MURILO GUSTAVO BOTT</t>
  </si>
  <si>
    <t>1</t>
  </si>
  <si>
    <t>43:35</t>
  </si>
  <si>
    <t>10:58</t>
  </si>
  <si>
    <t>0:30</t>
  </si>
  <si>
    <t>30:25</t>
  </si>
  <si>
    <t>42:56</t>
  </si>
  <si>
    <t>22:07</t>
  </si>
  <si>
    <t>9:14</t>
  </si>
  <si>
    <t>3:58</t>
  </si>
  <si>
    <t>18:55</t>
  </si>
  <si>
    <t>9:59</t>
  </si>
  <si>
    <t>21:49</t>
  </si>
  <si>
    <t>25:14</t>
  </si>
  <si>
    <t>34:32</t>
  </si>
  <si>
    <t>13:38</t>
  </si>
  <si>
    <t>25:16</t>
  </si>
  <si>
    <t>23:42</t>
  </si>
  <si>
    <t>10:29</t>
  </si>
  <si>
    <t>46:09</t>
  </si>
  <si>
    <t>23:13</t>
  </si>
  <si>
    <t>MEIRE LUCI ZANINELO</t>
  </si>
  <si>
    <t>12:47</t>
  </si>
  <si>
    <t>20:45</t>
  </si>
  <si>
    <t>36:12</t>
  </si>
  <si>
    <t>6:55</t>
  </si>
  <si>
    <t>3:30</t>
  </si>
  <si>
    <t>2:29</t>
  </si>
  <si>
    <t>33:18</t>
  </si>
  <si>
    <t>40:00</t>
  </si>
  <si>
    <t>9:00</t>
  </si>
  <si>
    <t>7:32</t>
  </si>
  <si>
    <t>32:08</t>
  </si>
  <si>
    <t>50:37</t>
  </si>
  <si>
    <t>6:53</t>
  </si>
  <si>
    <t>10:50</t>
  </si>
  <si>
    <t>6:18</t>
  </si>
  <si>
    <t>14:53</t>
  </si>
  <si>
    <t>29:18</t>
  </si>
  <si>
    <t>16:58</t>
  </si>
  <si>
    <t>9:20</t>
  </si>
  <si>
    <t>5:40</t>
  </si>
  <si>
    <t>1:36</t>
  </si>
  <si>
    <t>11:22</t>
  </si>
  <si>
    <t>10:56</t>
  </si>
  <si>
    <t>25:48</t>
  </si>
  <si>
    <t>24:52</t>
  </si>
  <si>
    <t>20:17</t>
  </si>
  <si>
    <t>8:59</t>
  </si>
  <si>
    <t>2:20</t>
  </si>
  <si>
    <t>13:17</t>
  </si>
  <si>
    <t>1:12</t>
  </si>
  <si>
    <t>42:43</t>
  </si>
  <si>
    <t>6:25</t>
  </si>
  <si>
    <t>8:11</t>
  </si>
  <si>
    <t>15:20</t>
  </si>
  <si>
    <t>9:11</t>
  </si>
  <si>
    <t>25:17</t>
  </si>
  <si>
    <t>19:48</t>
  </si>
  <si>
    <t>28:22</t>
  </si>
  <si>
    <t>12:02</t>
  </si>
  <si>
    <t>11:55</t>
  </si>
  <si>
    <t>18:42</t>
  </si>
  <si>
    <t>16:29</t>
  </si>
  <si>
    <t>44:14</t>
  </si>
  <si>
    <t>6:19</t>
  </si>
  <si>
    <t>0:34</t>
  </si>
  <si>
    <t>10:57</t>
  </si>
  <si>
    <t>19:11</t>
  </si>
  <si>
    <t>3:46</t>
  </si>
  <si>
    <t>6:46</t>
  </si>
  <si>
    <t>11:59</t>
  </si>
  <si>
    <t>2:10</t>
  </si>
  <si>
    <t>37:20</t>
  </si>
  <si>
    <t>21:46</t>
  </si>
  <si>
    <t>0:50</t>
  </si>
  <si>
    <t>3:06</t>
  </si>
  <si>
    <t>26:54</t>
  </si>
  <si>
    <t>0:55</t>
  </si>
  <si>
    <t>18:36</t>
  </si>
  <si>
    <t>13:44</t>
  </si>
  <si>
    <t>28:14</t>
  </si>
  <si>
    <t>18:12</t>
  </si>
  <si>
    <t>9:13</t>
  </si>
  <si>
    <t>18:29</t>
  </si>
  <si>
    <t>7:55</t>
  </si>
  <si>
    <t>2:42</t>
  </si>
  <si>
    <t>46:44</t>
  </si>
  <si>
    <t>5:10</t>
  </si>
  <si>
    <t>2:26</t>
  </si>
  <si>
    <t>49:11</t>
  </si>
  <si>
    <t>7:34</t>
  </si>
  <si>
    <t>49:36</t>
  </si>
  <si>
    <t>31:27</t>
  </si>
  <si>
    <t>13:13</t>
  </si>
  <si>
    <t>1:56</t>
  </si>
  <si>
    <t>14:30</t>
  </si>
  <si>
    <t>15:49</t>
  </si>
  <si>
    <t>3:10</t>
  </si>
  <si>
    <t>2:35</t>
  </si>
  <si>
    <t>35:06</t>
  </si>
  <si>
    <t>1:25</t>
  </si>
  <si>
    <t>27:53</t>
  </si>
  <si>
    <t>DEZEMBRO</t>
  </si>
  <si>
    <t>Dezembro</t>
  </si>
  <si>
    <t>ADOLFO BOCCHI</t>
  </si>
  <si>
    <t>VIVIANE SHINOHARA</t>
  </si>
  <si>
    <t>6:02</t>
  </si>
  <si>
    <t>29:25</t>
  </si>
  <si>
    <t>16:38</t>
  </si>
  <si>
    <t>13:54</t>
  </si>
  <si>
    <t>12:33</t>
  </si>
  <si>
    <t>17:54</t>
  </si>
  <si>
    <t>18:00</t>
  </si>
  <si>
    <t>93:39</t>
  </si>
  <si>
    <t>45:21</t>
  </si>
  <si>
    <t>34:19</t>
  </si>
  <si>
    <t>7:17</t>
  </si>
  <si>
    <t>33:41</t>
  </si>
  <si>
    <t>19:39</t>
  </si>
  <si>
    <t>15:07</t>
  </si>
  <si>
    <t>9:07</t>
  </si>
  <si>
    <t>15:36</t>
  </si>
  <si>
    <t>13:05</t>
  </si>
  <si>
    <t>28:04</t>
  </si>
  <si>
    <t>10:55</t>
  </si>
  <si>
    <t>2:22</t>
  </si>
  <si>
    <t>12:11</t>
  </si>
  <si>
    <t>6:34</t>
  </si>
  <si>
    <t>10:51</t>
  </si>
  <si>
    <t>6:16</t>
  </si>
  <si>
    <t>15:26</t>
  </si>
  <si>
    <t>51:32</t>
  </si>
  <si>
    <t>2:37</t>
  </si>
  <si>
    <t>10:38</t>
  </si>
  <si>
    <t>13:40</t>
  </si>
  <si>
    <t>8:49</t>
  </si>
  <si>
    <t>13:16</t>
  </si>
  <si>
    <t>27:16</t>
  </si>
  <si>
    <t>19:16</t>
  </si>
  <si>
    <t>6:43</t>
  </si>
  <si>
    <t>42:26</t>
  </si>
  <si>
    <t>13:32</t>
  </si>
  <si>
    <t>0:25</t>
  </si>
  <si>
    <t>33:08</t>
  </si>
  <si>
    <t>0:40</t>
  </si>
  <si>
    <t>33:31</t>
  </si>
  <si>
    <t>19:02</t>
  </si>
  <si>
    <t>23:53</t>
  </si>
  <si>
    <t>22:12</t>
  </si>
  <si>
    <t>57:45</t>
  </si>
  <si>
    <t>9:40</t>
  </si>
  <si>
    <t>18:56</t>
  </si>
  <si>
    <t>7:07</t>
  </si>
  <si>
    <t>12:55</t>
  </si>
  <si>
    <t>5:27</t>
  </si>
  <si>
    <t>14:42</t>
  </si>
  <si>
    <t>13:09</t>
  </si>
  <si>
    <t>68:03</t>
  </si>
  <si>
    <t>26:17</t>
  </si>
  <si>
    <t>13:47</t>
  </si>
  <si>
    <t>14:06</t>
  </si>
  <si>
    <t>22:11</t>
  </si>
  <si>
    <t>15:06</t>
  </si>
  <si>
    <t>14:25</t>
  </si>
  <si>
    <t>1:18</t>
  </si>
  <si>
    <t>26:38</t>
  </si>
  <si>
    <t>37:22</t>
  </si>
  <si>
    <t>8:45</t>
  </si>
  <si>
    <t>1:37</t>
  </si>
  <si>
    <t>43:04</t>
  </si>
  <si>
    <t>2:05</t>
  </si>
  <si>
    <t>25:31</t>
  </si>
  <si>
    <t>32:09</t>
  </si>
  <si>
    <t>1:32</t>
  </si>
  <si>
    <t>39:29</t>
  </si>
  <si>
    <t>36:31</t>
  </si>
  <si>
    <t>38:16</t>
  </si>
  <si>
    <t>4:31</t>
  </si>
  <si>
    <t>36:13</t>
  </si>
  <si>
    <t>7:16</t>
  </si>
  <si>
    <t>9:34</t>
  </si>
  <si>
    <t>2:14</t>
  </si>
  <si>
    <t>11:05</t>
  </si>
  <si>
    <t>75:13</t>
  </si>
  <si>
    <t>59:16</t>
  </si>
  <si>
    <t>7:59</t>
  </si>
  <si>
    <t>30:31</t>
  </si>
  <si>
    <t>4:38</t>
  </si>
  <si>
    <t>32:05</t>
  </si>
  <si>
    <t>45:19</t>
  </si>
  <si>
    <t>12:13</t>
  </si>
  <si>
    <t>9:16</t>
  </si>
  <si>
    <t>21:22</t>
  </si>
  <si>
    <t>8:00</t>
  </si>
  <si>
    <t>19:58</t>
  </si>
  <si>
    <t>20:34</t>
  </si>
  <si>
    <t>0:54</t>
  </si>
  <si>
    <t>18:59</t>
  </si>
  <si>
    <t>7:49</t>
  </si>
  <si>
    <t>17:08</t>
  </si>
  <si>
    <t>10:07</t>
  </si>
  <si>
    <t>2:57</t>
  </si>
  <si>
    <t>7:28</t>
  </si>
  <si>
    <t>5:52</t>
  </si>
  <si>
    <t>16:00</t>
  </si>
  <si>
    <t>19:07</t>
  </si>
  <si>
    <t>15:22</t>
  </si>
  <si>
    <t>71:58</t>
  </si>
  <si>
    <t>1:48</t>
  </si>
  <si>
    <t>3:28</t>
  </si>
  <si>
    <t>6:40</t>
  </si>
  <si>
    <t>9:26</t>
  </si>
  <si>
    <t>9:58</t>
  </si>
  <si>
    <t>5:07</t>
  </si>
  <si>
    <t>1:41</t>
  </si>
  <si>
    <t>27:13</t>
  </si>
  <si>
    <t>9:30</t>
  </si>
  <si>
    <t>7:30</t>
  </si>
  <si>
    <t>34:14</t>
  </si>
  <si>
    <t>0:36</t>
  </si>
  <si>
    <t>4:12</t>
  </si>
  <si>
    <t>10:01</t>
  </si>
  <si>
    <t>26:40</t>
  </si>
  <si>
    <t>33:58</t>
  </si>
  <si>
    <t>16:28</t>
  </si>
  <si>
    <t>10:22</t>
  </si>
  <si>
    <t>17:55</t>
  </si>
  <si>
    <t>10:00</t>
  </si>
  <si>
    <t>1:01</t>
  </si>
  <si>
    <t>3:38</t>
  </si>
  <si>
    <t>3:56</t>
  </si>
  <si>
    <t>61:40</t>
  </si>
  <si>
    <t>5:50</t>
  </si>
  <si>
    <t>17:35</t>
  </si>
  <si>
    <t>29:36</t>
  </si>
  <si>
    <t>5:15</t>
  </si>
  <si>
    <t>7:00</t>
  </si>
  <si>
    <t>19:23</t>
  </si>
  <si>
    <t>34:42</t>
  </si>
  <si>
    <t>15:30</t>
  </si>
  <si>
    <t>5:32</t>
  </si>
  <si>
    <t>5:09</t>
  </si>
  <si>
    <t>25:35</t>
  </si>
  <si>
    <t>13:41</t>
  </si>
  <si>
    <t>42:58</t>
  </si>
  <si>
    <t>15:44</t>
  </si>
  <si>
    <t>4:30</t>
  </si>
  <si>
    <t>5:30</t>
  </si>
  <si>
    <t>2:08</t>
  </si>
  <si>
    <t>16:16</t>
  </si>
  <si>
    <t>48:25</t>
  </si>
  <si>
    <t>1:31</t>
  </si>
  <si>
    <t>2:13</t>
  </si>
  <si>
    <t>2:36</t>
  </si>
  <si>
    <t>18:14</t>
  </si>
  <si>
    <t>15:13</t>
  </si>
  <si>
    <t>27:23</t>
  </si>
  <si>
    <t>8:29</t>
  </si>
  <si>
    <t>3:37</t>
  </si>
  <si>
    <t>10:40</t>
  </si>
  <si>
    <t>0:32</t>
  </si>
  <si>
    <t>19:47</t>
  </si>
  <si>
    <t>0:28</t>
  </si>
  <si>
    <t>7:44</t>
  </si>
  <si>
    <t>5:13</t>
  </si>
  <si>
    <t>11:46</t>
  </si>
  <si>
    <t>25:53</t>
  </si>
  <si>
    <t>4:26</t>
  </si>
  <si>
    <t>22:53</t>
  </si>
  <si>
    <t>11:08</t>
  </si>
  <si>
    <t>4:46</t>
  </si>
  <si>
    <t>16:32</t>
  </si>
  <si>
    <t>4:56</t>
  </si>
  <si>
    <t>6:14</t>
  </si>
  <si>
    <t>4:23</t>
  </si>
  <si>
    <t>3:20</t>
  </si>
  <si>
    <t>8:53</t>
  </si>
  <si>
    <t>6:15</t>
  </si>
  <si>
    <t>8:15</t>
  </si>
  <si>
    <t>11:31</t>
  </si>
  <si>
    <t>23:07</t>
  </si>
  <si>
    <t>20:50</t>
  </si>
  <si>
    <t>6:08</t>
  </si>
  <si>
    <t>9:01</t>
  </si>
  <si>
    <t>32:48</t>
  </si>
  <si>
    <t>3:29</t>
  </si>
  <si>
    <t>21:16</t>
  </si>
  <si>
    <t>27:08</t>
  </si>
  <si>
    <t>7:11</t>
  </si>
  <si>
    <t>1:14</t>
  </si>
  <si>
    <t>4:09</t>
  </si>
  <si>
    <t>27:56</t>
  </si>
  <si>
    <t>6:11</t>
  </si>
  <si>
    <t>6:59</t>
  </si>
  <si>
    <t>1:23</t>
  </si>
  <si>
    <t>0:41</t>
  </si>
  <si>
    <t>18:25</t>
  </si>
  <si>
    <t>18:35</t>
  </si>
  <si>
    <t>3:16</t>
  </si>
  <si>
    <t>11:39</t>
  </si>
  <si>
    <t>7:38</t>
  </si>
  <si>
    <t>22:54</t>
  </si>
  <si>
    <t>3:34</t>
  </si>
  <si>
    <t>16:14</t>
  </si>
  <si>
    <t>5:04</t>
  </si>
  <si>
    <t>25:52</t>
  </si>
  <si>
    <t>4:54</t>
  </si>
  <si>
    <t>18:01</t>
  </si>
  <si>
    <t>0:22</t>
  </si>
  <si>
    <t>22:57</t>
  </si>
  <si>
    <t>11:57</t>
  </si>
  <si>
    <t>46:16</t>
  </si>
  <si>
    <t>29:10</t>
  </si>
  <si>
    <t>21:07</t>
  </si>
  <si>
    <t>4:02</t>
  </si>
  <si>
    <t>11:33</t>
  </si>
  <si>
    <t>32:34</t>
  </si>
  <si>
    <t>8:27</t>
  </si>
  <si>
    <t>0:57</t>
  </si>
  <si>
    <t>JANEIRO</t>
  </si>
  <si>
    <t>Janeiro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</si>
</sst>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#0;###0"/>
    <numFmt numFmtId="165" formatCode="**"/>
  </numFmts>
  <fonts count="2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26"/>
      <color rgb="FF000000"/>
      <name val="Times New Roman"/>
      <family val="1"/>
    </font>
    <font>
      <sz val="22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rgb="FF000000"/>
      <name val="Times New Roman"/>
      <family val="1"/>
    </font>
    <font>
      <sz val="8"/>
      <color rgb="FF000000"/>
      <name val="Segoe UI"/>
      <family val="2"/>
    </font>
    <font>
      <sz val="10"/>
      <color theme="0"/>
      <name val="Times New Roman"/>
      <family val="1"/>
    </font>
    <font>
      <sz val="10"/>
      <name val="Times New Roman"/>
      <family val="1"/>
    </font>
    <font>
      <sz val="9"/>
      <name val="Arial"/>
      <family val="2"/>
    </font>
    <font>
      <b/>
      <sz val="13"/>
      <name val="Times New Roman"/>
      <family val="1"/>
    </font>
    <font>
      <b/>
      <sz val="12"/>
      <color rgb="FF000000"/>
      <name val="Times New Roman"/>
      <family val="1"/>
    </font>
    <font>
      <b/>
      <sz val="10"/>
      <color rgb="FF000000"/>
      <name val="Times New Roman"/>
      <family val="1"/>
    </font>
    <font>
      <sz val="9"/>
      <color rgb="FF000000"/>
      <name val="Tahoma"/>
      <family val="2"/>
    </font>
    <font>
      <b/>
      <sz val="9"/>
      <color rgb="FF000000"/>
      <name val="Tahoma"/>
      <family val="2"/>
    </font>
    <font>
      <sz val="10"/>
      <color rgb="FF000000"/>
      <name val="Tahoma"/>
      <family val="2"/>
    </font>
    <font>
      <b/>
      <sz val="20"/>
      <color rgb="FFFF0000"/>
      <name val="Times New Roman"/>
      <family val="1"/>
    </font>
    <font>
      <b/>
      <sz val="10"/>
      <name val="Times New Roman"/>
      <family val="1"/>
    </font>
    <font>
      <sz val="9"/>
      <color rgb="FFFF0000"/>
      <name val="Arial"/>
      <family val="2"/>
    </font>
    <font>
      <b/>
      <sz val="10"/>
      <color rgb="FFFF0000"/>
      <name val="Times New Roman"/>
      <family val="1"/>
    </font>
    <font>
      <u/>
      <sz val="10"/>
      <color rgb="FF000000"/>
      <name val="Times New Roman"/>
      <family val="1"/>
    </font>
    <font>
      <b/>
      <sz val="15"/>
      <color theme="0"/>
      <name val="Arial Black"/>
      <family val="2"/>
    </font>
    <font>
      <sz val="10"/>
      <color theme="0"/>
      <name val="Arial Black"/>
      <family val="2"/>
    </font>
    <font>
      <b/>
      <sz val="13"/>
      <name val="Tahoma"/>
      <family val="2"/>
    </font>
    <font>
      <sz val="13"/>
      <color rgb="FF000000"/>
      <name val="Tahoma"/>
      <family val="2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3" tint="-0.25098422193060094"/>
        </stop>
        <stop position="1">
          <color theme="3" tint="0.40000610370189521"/>
        </stop>
      </gradientFill>
    </fill>
    <fill>
      <patternFill patternType="solid">
        <fgColor theme="0" tint="-0.14996795556505021"/>
        <bgColor indexed="64"/>
      </patternFill>
    </fill>
    <fill>
      <patternFill patternType="solid">
        <fgColor rgb="FFC1C1C1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01">
    <xf numFmtId="0" fontId="0" fillId="0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center" vertical="top"/>
    </xf>
    <xf numFmtId="0" fontId="3" fillId="5" borderId="0" xfId="0" applyFont="1" applyFill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 wrapText="1"/>
    </xf>
    <xf numFmtId="0" fontId="12" fillId="5" borderId="0" xfId="0" applyFont="1" applyFill="1" applyBorder="1" applyAlignment="1">
      <alignment horizontal="center" vertical="top"/>
    </xf>
    <xf numFmtId="0" fontId="6" fillId="5" borderId="0" xfId="0" applyFont="1" applyFill="1" applyBorder="1" applyAlignment="1">
      <alignment horizontal="center" vertical="top"/>
    </xf>
    <xf numFmtId="0" fontId="11" fillId="5" borderId="0" xfId="0" applyFont="1" applyFill="1" applyBorder="1" applyAlignment="1">
      <alignment horizontal="left" vertical="center"/>
    </xf>
    <xf numFmtId="0" fontId="11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top"/>
    </xf>
    <xf numFmtId="0" fontId="2" fillId="5" borderId="0" xfId="0" applyFont="1" applyFill="1" applyBorder="1" applyAlignment="1">
      <alignment horizontal="center" vertical="center" wrapText="1"/>
    </xf>
    <xf numFmtId="0" fontId="14" fillId="5" borderId="0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/>
    </xf>
    <xf numFmtId="0" fontId="15" fillId="5" borderId="0" xfId="0" applyFont="1" applyFill="1" applyBorder="1" applyAlignment="1">
      <alignment horizontal="left" vertical="top"/>
    </xf>
    <xf numFmtId="0" fontId="16" fillId="5" borderId="0" xfId="0" applyFont="1" applyFill="1" applyBorder="1" applyAlignment="1">
      <alignment horizontal="left" vertical="top"/>
    </xf>
    <xf numFmtId="0" fontId="16" fillId="2" borderId="0" xfId="0" applyFont="1" applyFill="1" applyBorder="1" applyAlignment="1">
      <alignment horizontal="left" vertical="top"/>
    </xf>
    <xf numFmtId="0" fontId="17" fillId="5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2" fillId="5" borderId="0" xfId="0" quotePrefix="1" applyFont="1" applyFill="1" applyBorder="1" applyAlignment="1">
      <alignment horizontal="left" vertical="top"/>
    </xf>
    <xf numFmtId="0" fontId="18" fillId="0" borderId="0" xfId="1" applyFont="1" applyFill="1" applyBorder="1" applyAlignment="1">
      <alignment horizontal="center" vertical="top"/>
    </xf>
    <xf numFmtId="0" fontId="18" fillId="0" borderId="0" xfId="1" applyFont="1" applyFill="1" applyBorder="1" applyAlignment="1">
      <alignment horizontal="left" vertical="top"/>
    </xf>
    <xf numFmtId="0" fontId="1" fillId="0" borderId="0" xfId="1"/>
    <xf numFmtId="164" fontId="10" fillId="0" borderId="1" xfId="1" applyNumberFormat="1" applyFont="1" applyFill="1" applyBorder="1" applyAlignment="1">
      <alignment horizontal="left" vertical="top" wrapText="1"/>
    </xf>
    <xf numFmtId="0" fontId="10" fillId="0" borderId="2" xfId="1" applyFont="1" applyFill="1" applyBorder="1" applyAlignment="1">
      <alignment horizontal="center" vertical="top" wrapText="1"/>
    </xf>
    <xf numFmtId="0" fontId="19" fillId="0" borderId="2" xfId="1" applyFont="1" applyFill="1" applyBorder="1" applyAlignment="1">
      <alignment horizontal="center" vertical="top" wrapText="1"/>
    </xf>
    <xf numFmtId="164" fontId="10" fillId="2" borderId="1" xfId="1" applyNumberFormat="1" applyFont="1" applyFill="1" applyBorder="1" applyAlignment="1">
      <alignment horizontal="left" vertical="top" wrapText="1"/>
    </xf>
    <xf numFmtId="0" fontId="10" fillId="2" borderId="2" xfId="1" applyFont="1" applyFill="1" applyBorder="1" applyAlignment="1">
      <alignment horizontal="center" vertical="top" wrapText="1"/>
    </xf>
    <xf numFmtId="0" fontId="19" fillId="2" borderId="2" xfId="1" applyFont="1" applyFill="1" applyBorder="1" applyAlignment="1">
      <alignment horizontal="center" vertical="top" wrapText="1"/>
    </xf>
    <xf numFmtId="0" fontId="20" fillId="5" borderId="0" xfId="0" applyFont="1" applyFill="1" applyBorder="1" applyAlignment="1">
      <alignment horizontal="left" vertical="top"/>
    </xf>
    <xf numFmtId="0" fontId="21" fillId="5" borderId="0" xfId="0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left" vertical="top"/>
    </xf>
    <xf numFmtId="0" fontId="16" fillId="3" borderId="4" xfId="0" applyFont="1" applyFill="1" applyBorder="1" applyAlignment="1">
      <alignment horizontal="center" vertical="center"/>
    </xf>
    <xf numFmtId="20" fontId="1" fillId="0" borderId="0" xfId="1" applyNumberFormat="1"/>
    <xf numFmtId="0" fontId="9" fillId="0" borderId="0" xfId="1" applyFont="1" applyFill="1" applyBorder="1" applyAlignment="1">
      <alignment horizontal="left" vertical="top"/>
    </xf>
    <xf numFmtId="0" fontId="9" fillId="0" borderId="0" xfId="1" applyFont="1" applyFill="1" applyBorder="1" applyAlignment="1">
      <alignment horizontal="center" vertical="top"/>
    </xf>
    <xf numFmtId="0" fontId="26" fillId="0" borderId="0" xfId="1" applyFont="1"/>
    <xf numFmtId="0" fontId="10" fillId="0" borderId="7" xfId="1" applyFont="1" applyFill="1" applyBorder="1" applyAlignment="1">
      <alignment horizontal="left" vertical="top"/>
    </xf>
    <xf numFmtId="0" fontId="10" fillId="0" borderId="7" xfId="1" applyFont="1" applyFill="1" applyBorder="1" applyAlignment="1">
      <alignment horizontal="center" vertical="top"/>
    </xf>
    <xf numFmtId="0" fontId="9" fillId="0" borderId="0" xfId="0" applyFont="1" applyFill="1" applyBorder="1" applyAlignment="1" applyProtection="1">
      <alignment horizontal="left" vertical="top"/>
      <protection locked="0"/>
    </xf>
    <xf numFmtId="0" fontId="9" fillId="0" borderId="0" xfId="0" applyFont="1" applyFill="1" applyBorder="1" applyAlignment="1" applyProtection="1">
      <alignment horizontal="center" vertical="top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0" applyFont="1" applyFill="1" applyBorder="1" applyAlignment="1" applyProtection="1">
      <alignment horizontal="left" vertical="top"/>
      <protection locked="0"/>
    </xf>
    <xf numFmtId="0" fontId="18" fillId="0" borderId="0" xfId="0" applyFont="1" applyFill="1" applyBorder="1" applyAlignment="1" applyProtection="1">
      <alignment horizontal="center" vertical="top"/>
      <protection locked="0"/>
    </xf>
    <xf numFmtId="0" fontId="0" fillId="0" borderId="0" xfId="0" applyFill="1" applyBorder="1" applyAlignment="1" applyProtection="1">
      <alignment horizontal="center" vertical="top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center" vertical="top" wrapText="1"/>
      <protection locked="0"/>
    </xf>
    <xf numFmtId="0" fontId="0" fillId="0" borderId="2" xfId="0" applyFill="1" applyBorder="1" applyAlignment="1" applyProtection="1">
      <alignment horizontal="left" vertical="top" wrapText="1"/>
      <protection locked="0"/>
    </xf>
    <xf numFmtId="0" fontId="10" fillId="2" borderId="2" xfId="0" applyFont="1" applyFill="1" applyBorder="1" applyAlignment="1" applyProtection="1">
      <alignment horizontal="center" vertical="top" wrapText="1"/>
      <protection locked="0"/>
    </xf>
    <xf numFmtId="0" fontId="10" fillId="2" borderId="2" xfId="0" applyFont="1" applyFill="1" applyBorder="1" applyAlignment="1" applyProtection="1">
      <alignment horizontal="left" vertical="top" wrapText="1"/>
      <protection locked="0"/>
    </xf>
    <xf numFmtId="0" fontId="0" fillId="2" borderId="0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8" fillId="2" borderId="0" xfId="0" applyFont="1" applyFill="1" applyBorder="1" applyAlignment="1" applyProtection="1">
      <alignment horizontal="left" vertical="top"/>
      <protection locked="0"/>
    </xf>
    <xf numFmtId="0" fontId="8" fillId="2" borderId="0" xfId="0" applyFont="1" applyFill="1" applyBorder="1" applyAlignment="1" applyProtection="1">
      <alignment horizontal="center" vertical="top"/>
      <protection locked="0"/>
    </xf>
    <xf numFmtId="0" fontId="0" fillId="2" borderId="0" xfId="0" applyFill="1" applyBorder="1" applyAlignment="1" applyProtection="1">
      <alignment horizontal="center" vertical="top"/>
      <protection locked="0"/>
    </xf>
    <xf numFmtId="0" fontId="9" fillId="0" borderId="0" xfId="0" applyFont="1" applyFill="1" applyBorder="1" applyAlignment="1" applyProtection="1">
      <alignment horizontal="center" vertical="top"/>
    </xf>
    <xf numFmtId="0" fontId="18" fillId="0" borderId="0" xfId="0" applyFont="1" applyFill="1" applyBorder="1" applyAlignment="1" applyProtection="1">
      <alignment horizontal="center" vertical="top"/>
    </xf>
    <xf numFmtId="0" fontId="10" fillId="0" borderId="2" xfId="0" applyFont="1" applyFill="1" applyBorder="1" applyAlignment="1" applyProtection="1">
      <alignment horizontal="center" vertical="top" wrapText="1"/>
    </xf>
    <xf numFmtId="0" fontId="10" fillId="2" borderId="2" xfId="0" applyFont="1" applyFill="1" applyBorder="1" applyAlignment="1" applyProtection="1">
      <alignment horizontal="center" vertical="top" wrapText="1"/>
    </xf>
    <xf numFmtId="0" fontId="8" fillId="2" borderId="0" xfId="0" applyFont="1" applyFill="1" applyBorder="1" applyAlignment="1" applyProtection="1">
      <alignment horizontal="center" vertical="top"/>
    </xf>
    <xf numFmtId="0" fontId="0" fillId="2" borderId="0" xfId="0" applyFill="1" applyBorder="1" applyAlignment="1" applyProtection="1">
      <alignment horizontal="center" vertical="top"/>
    </xf>
    <xf numFmtId="0" fontId="0" fillId="0" borderId="0" xfId="0" applyFill="1" applyBorder="1" applyAlignment="1" applyProtection="1">
      <alignment horizontal="center" vertical="top"/>
    </xf>
    <xf numFmtId="0" fontId="10" fillId="6" borderId="2" xfId="0" applyFont="1" applyFill="1" applyBorder="1" applyAlignment="1" applyProtection="1">
      <alignment horizontal="center" vertical="top" wrapText="1"/>
      <protection locked="0"/>
    </xf>
    <xf numFmtId="0" fontId="0" fillId="0" borderId="0" xfId="0" applyProtection="1">
      <protection locked="0"/>
    </xf>
    <xf numFmtId="0" fontId="18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top"/>
      <protection locked="0"/>
    </xf>
    <xf numFmtId="0" fontId="13" fillId="0" borderId="0" xfId="0" applyFont="1" applyFill="1" applyBorder="1" applyAlignment="1" applyProtection="1">
      <alignment horizontal="left" vertical="top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0" fontId="18" fillId="0" borderId="0" xfId="0" applyFont="1" applyFill="1" applyBorder="1" applyAlignment="1" applyProtection="1">
      <alignment horizontal="center" vertical="center"/>
      <protection locked="0"/>
    </xf>
    <xf numFmtId="0" fontId="18" fillId="0" borderId="3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15" fillId="5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 wrapText="1"/>
    </xf>
    <xf numFmtId="0" fontId="22" fillId="5" borderId="0" xfId="0" applyFont="1" applyFill="1" applyBorder="1" applyAlignment="1">
      <alignment horizontal="center" vertical="center" wrapText="1"/>
    </xf>
    <xf numFmtId="0" fontId="23" fillId="5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15" fillId="5" borderId="6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2" borderId="0" xfId="0" applyFill="1" applyBorder="1" applyAlignment="1" applyProtection="1">
      <alignment horizontal="center" vertical="center"/>
      <protection locked="0"/>
    </xf>
    <xf numFmtId="165" fontId="2" fillId="2" borderId="0" xfId="0" applyNumberFormat="1" applyFont="1" applyFill="1" applyBorder="1" applyAlignment="1" applyProtection="1">
      <alignment horizontal="center" vertical="center"/>
      <protection locked="0"/>
    </xf>
    <xf numFmtId="165" fontId="0" fillId="2" borderId="0" xfId="0" applyNumberFormat="1" applyFill="1" applyBorder="1" applyAlignment="1" applyProtection="1">
      <alignment horizontal="center" vertical="center"/>
      <protection locked="0"/>
    </xf>
    <xf numFmtId="0" fontId="15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2" fillId="5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 wrapText="1"/>
    </xf>
    <xf numFmtId="0" fontId="24" fillId="3" borderId="0" xfId="0" applyFont="1" applyFill="1" applyBorder="1" applyAlignment="1">
      <alignment horizontal="center" vertical="center"/>
    </xf>
    <xf numFmtId="0" fontId="25" fillId="3" borderId="0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0" fillId="0" borderId="0" xfId="0" applyFill="1" applyBorder="1" applyAlignment="1">
      <alignment horizontal="left" vertical="top" wrapText="1"/>
    </xf>
    <xf numFmtId="0" fontId="0" fillId="0" borderId="0" xfId="0" applyAlignment="1">
      <alignment wrapText="1"/>
    </xf>
    <xf numFmtId="0" fontId="10" fillId="0" borderId="7" xfId="1" applyFont="1" applyFill="1" applyBorder="1" applyAlignment="1">
      <alignment horizontal="left" vertical="top"/>
    </xf>
    <xf numFmtId="0" fontId="10" fillId="0" borderId="8" xfId="1" applyFont="1" applyFill="1" applyBorder="1" applyAlignment="1">
      <alignment horizontal="left" vertical="top"/>
    </xf>
    <xf numFmtId="0" fontId="0" fillId="0" borderId="8" xfId="0" applyFill="1" applyBorder="1" applyAlignment="1">
      <alignment horizontal="left" vertical="top"/>
    </xf>
    <xf numFmtId="0" fontId="10" fillId="0" borderId="2" xfId="1" applyFont="1" applyFill="1" applyBorder="1" applyAlignment="1">
      <alignment horizontal="left" vertical="top" wrapText="1"/>
    </xf>
    <xf numFmtId="0" fontId="10" fillId="2" borderId="2" xfId="1" applyFont="1" applyFill="1" applyBorder="1" applyAlignment="1">
      <alignment horizontal="left" vertical="top" wrapText="1"/>
    </xf>
  </cellXfs>
  <cellStyles count="2">
    <cellStyle name="Normal" xfId="0" builtinId="0"/>
    <cellStyle name="Normal 2" xfId="1"/>
  </cellStyles>
  <dxfs count="1"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usernames" Target="revisions/userNames.xml"/><Relationship Id="rId5" Type="http://schemas.openxmlformats.org/officeDocument/2006/relationships/theme" Target="theme/theme1.xml"/><Relationship Id="rId10" Type="http://schemas.openxmlformats.org/officeDocument/2006/relationships/revisionHeaders" Target="revisions/revisionHeaders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3648075</xdr:colOff>
          <xdr:row>12</xdr:row>
          <xdr:rowOff>38100</xdr:rowOff>
        </xdr:from>
        <xdr:to>
          <xdr:col>8</xdr:col>
          <xdr:colOff>57150</xdr:colOff>
          <xdr:row>20</xdr:row>
          <xdr:rowOff>28575</xdr:rowOff>
        </xdr:to>
        <xdr:sp macro="" textlink="">
          <xdr:nvSpPr>
            <xdr:cNvPr id="2049" name="Group Box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INSERIR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7</xdr:row>
          <xdr:rowOff>66675</xdr:rowOff>
        </xdr:from>
        <xdr:to>
          <xdr:col>12</xdr:col>
          <xdr:colOff>123825</xdr:colOff>
          <xdr:row>10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REEXIBIR BORDAS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7</xdr:row>
          <xdr:rowOff>66675</xdr:rowOff>
        </xdr:from>
        <xdr:to>
          <xdr:col>9</xdr:col>
          <xdr:colOff>485775</xdr:colOff>
          <xdr:row>10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OCULTAR BORAS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68FFA799-CEA9-4D4A-982B-FD03B3F3FE04}">
  <header guid="{68FFA799-CEA9-4D4A-982B-FD03B3F3FE04}" dateTime="2019-02-27T16:56:24" maxSheetId="5" userName="Ana Carolina Silva Scainoni" r:id="rId1">
    <sheetIdMap count="4">
      <sheetId val="1"/>
      <sheetId val="2"/>
      <sheetId val="3"/>
      <sheetId val="4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drawing" Target="../drawings/drawing1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Relationship Id="rId1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T130"/>
  <sheetViews>
    <sheetView showGridLines="0" workbookViewId="0">
      <selection activeCell="A4" sqref="A4:B4"/>
    </sheetView>
  </sheetViews>
  <sheetFormatPr defaultColWidth="9.33203125" defaultRowHeight="12.75" x14ac:dyDescent="0.2"/>
  <cols>
    <col min="1" max="1" width="9.33203125" style="40" customWidth="1"/>
    <col min="2" max="2" width="54.5" style="40" bestFit="1" customWidth="1"/>
    <col min="3" max="6" width="12.6640625" style="40" customWidth="1"/>
    <col min="7" max="7" width="12.6640625" style="60" customWidth="1"/>
    <col min="8" max="8" width="9.33203125" style="43" customWidth="1"/>
    <col min="9" max="9" width="14.83203125" style="43" bestFit="1" customWidth="1"/>
    <col min="10" max="10" width="7.6640625" style="43" bestFit="1" customWidth="1"/>
    <col min="11" max="11" width="10.5" style="43" customWidth="1"/>
    <col min="12" max="12" width="2.5" style="43" customWidth="1"/>
    <col min="13" max="13" width="14" style="43" customWidth="1"/>
    <col min="14" max="14" width="11.5" style="43" customWidth="1"/>
    <col min="15" max="15" width="12.6640625" style="43" customWidth="1"/>
    <col min="16" max="16" width="15.1640625" style="43" customWidth="1"/>
    <col min="17" max="16384" width="9.33203125" style="40"/>
  </cols>
  <sheetData>
    <row r="1" spans="1:17" x14ac:dyDescent="0.2">
      <c r="A1" s="38"/>
      <c r="B1" s="38"/>
      <c r="C1" s="38"/>
      <c r="D1" s="38"/>
      <c r="E1" s="38"/>
      <c r="F1" s="38"/>
      <c r="G1" s="54"/>
      <c r="H1" s="39"/>
      <c r="I1" s="39"/>
      <c r="J1" s="39"/>
      <c r="K1" s="67" t="s">
        <v>295</v>
      </c>
      <c r="L1" s="67"/>
      <c r="M1" s="67"/>
      <c r="N1" s="67" t="s">
        <v>119</v>
      </c>
      <c r="O1" s="67"/>
      <c r="P1" s="65" t="s">
        <v>512</v>
      </c>
      <c r="Q1" s="66"/>
    </row>
    <row r="2" spans="1:17" ht="12.75" customHeight="1" x14ac:dyDescent="0.2">
      <c r="A2" s="41"/>
      <c r="B2" s="41"/>
      <c r="C2" s="41"/>
      <c r="D2" s="41"/>
      <c r="E2" s="41"/>
      <c r="F2" s="41"/>
      <c r="G2" s="55"/>
      <c r="H2" s="42"/>
      <c r="I2" s="42"/>
      <c r="J2" s="42"/>
      <c r="K2" s="63" t="s">
        <v>37</v>
      </c>
      <c r="M2" s="63" t="s">
        <v>38</v>
      </c>
      <c r="N2" s="68" t="s">
        <v>39</v>
      </c>
      <c r="O2" s="68" t="s">
        <v>40</v>
      </c>
      <c r="P2" s="63" t="s">
        <v>37</v>
      </c>
      <c r="Q2" s="63" t="s">
        <v>38</v>
      </c>
    </row>
    <row r="3" spans="1:17" ht="12.75" customHeight="1" x14ac:dyDescent="0.2">
      <c r="A3" s="42" t="s">
        <v>36</v>
      </c>
      <c r="B3" s="41" t="s">
        <v>115</v>
      </c>
      <c r="C3" s="41"/>
      <c r="D3" s="41"/>
      <c r="E3" s="41"/>
      <c r="F3" s="41"/>
      <c r="G3" s="55" t="s">
        <v>45</v>
      </c>
      <c r="H3" s="42" t="s">
        <v>116</v>
      </c>
      <c r="I3" s="42" t="s">
        <v>117</v>
      </c>
      <c r="J3" s="42" t="s">
        <v>118</v>
      </c>
      <c r="K3" s="64"/>
      <c r="M3" s="64"/>
      <c r="N3" s="69"/>
      <c r="O3" s="69"/>
      <c r="P3" s="64"/>
      <c r="Q3" s="64"/>
    </row>
    <row r="4" spans="1:17" ht="12" customHeight="1" x14ac:dyDescent="0.2">
      <c r="A4" s="62">
        <v>749257</v>
      </c>
      <c r="B4" s="62" t="s">
        <v>297</v>
      </c>
      <c r="C4" s="44"/>
      <c r="D4" s="44"/>
      <c r="E4" s="44"/>
      <c r="F4" s="44"/>
      <c r="G4" s="56">
        <f>VLOOKUP(A4,Senha!$A$2:$G$148,7,FALSE)</f>
        <v>7492</v>
      </c>
      <c r="H4" s="45" t="s">
        <v>46</v>
      </c>
      <c r="I4" s="62">
        <v>24</v>
      </c>
      <c r="J4" s="62" t="s">
        <v>124</v>
      </c>
      <c r="K4" s="62" t="s">
        <v>178</v>
      </c>
      <c r="L4" s="46"/>
      <c r="M4" s="62" t="s">
        <v>178</v>
      </c>
      <c r="N4" s="62" t="s">
        <v>299</v>
      </c>
      <c r="O4" s="62" t="s">
        <v>370</v>
      </c>
      <c r="P4" s="62" t="s">
        <v>444</v>
      </c>
      <c r="Q4" s="62" t="s">
        <v>178</v>
      </c>
    </row>
    <row r="5" spans="1:17" ht="12" customHeight="1" x14ac:dyDescent="0.2">
      <c r="A5" s="62">
        <v>590738</v>
      </c>
      <c r="B5" s="62" t="s">
        <v>127</v>
      </c>
      <c r="C5" s="44"/>
      <c r="D5" s="44"/>
      <c r="E5" s="44"/>
      <c r="F5" s="44"/>
      <c r="G5" s="56">
        <f>VLOOKUP(A5,Senha!$A$2:$G$148,7,FALSE)</f>
        <v>6245</v>
      </c>
      <c r="H5" s="45" t="s">
        <v>46</v>
      </c>
      <c r="I5" s="62">
        <v>30</v>
      </c>
      <c r="J5" s="62" t="s">
        <v>124</v>
      </c>
      <c r="K5" s="62" t="s">
        <v>222</v>
      </c>
      <c r="L5" s="44"/>
      <c r="M5" s="62" t="s">
        <v>178</v>
      </c>
      <c r="N5" s="62" t="s">
        <v>300</v>
      </c>
      <c r="O5" s="62" t="s">
        <v>371</v>
      </c>
      <c r="P5" s="62" t="s">
        <v>445</v>
      </c>
      <c r="Q5" s="62" t="s">
        <v>178</v>
      </c>
    </row>
    <row r="6" spans="1:17" ht="12" customHeight="1" x14ac:dyDescent="0.2">
      <c r="A6" s="62">
        <v>630349</v>
      </c>
      <c r="B6" s="62" t="s">
        <v>128</v>
      </c>
      <c r="C6" s="44"/>
      <c r="D6" s="44"/>
      <c r="E6" s="44"/>
      <c r="F6" s="44"/>
      <c r="G6" s="56">
        <f>VLOOKUP(A6,Senha!$A$2:$G$148,7,FALSE)</f>
        <v>1971</v>
      </c>
      <c r="H6" s="45" t="s">
        <v>46</v>
      </c>
      <c r="I6" s="62">
        <v>20</v>
      </c>
      <c r="J6" s="62" t="s">
        <v>154</v>
      </c>
      <c r="K6" s="62" t="s">
        <v>178</v>
      </c>
      <c r="L6" s="44"/>
      <c r="M6" s="62" t="s">
        <v>262</v>
      </c>
      <c r="N6" s="62" t="s">
        <v>301</v>
      </c>
      <c r="O6" s="62" t="s">
        <v>372</v>
      </c>
      <c r="P6" s="62" t="s">
        <v>446</v>
      </c>
      <c r="Q6" s="62" t="s">
        <v>178</v>
      </c>
    </row>
    <row r="7" spans="1:17" ht="12" customHeight="1" x14ac:dyDescent="0.2">
      <c r="A7" s="62">
        <v>698660</v>
      </c>
      <c r="B7" s="62" t="s">
        <v>160</v>
      </c>
      <c r="C7" s="44"/>
      <c r="D7" s="44"/>
      <c r="E7" s="44"/>
      <c r="F7" s="44"/>
      <c r="G7" s="56">
        <f>VLOOKUP(A7,Senha!$A$2:$G$148,7,FALSE)</f>
        <v>6986</v>
      </c>
      <c r="H7" s="45" t="s">
        <v>46</v>
      </c>
      <c r="I7" s="62">
        <v>40</v>
      </c>
      <c r="J7" s="62" t="s">
        <v>152</v>
      </c>
      <c r="K7" s="62" t="s">
        <v>178</v>
      </c>
      <c r="L7" s="44"/>
      <c r="M7" s="62" t="s">
        <v>263</v>
      </c>
      <c r="N7" s="62" t="s">
        <v>302</v>
      </c>
      <c r="O7" s="62" t="s">
        <v>373</v>
      </c>
      <c r="P7" s="62" t="s">
        <v>178</v>
      </c>
      <c r="Q7" s="62" t="s">
        <v>493</v>
      </c>
    </row>
    <row r="8" spans="1:17" ht="12" customHeight="1" x14ac:dyDescent="0.2">
      <c r="A8" s="62">
        <v>316288</v>
      </c>
      <c r="B8" s="62" t="s">
        <v>129</v>
      </c>
      <c r="C8" s="44"/>
      <c r="D8" s="44"/>
      <c r="E8" s="44"/>
      <c r="F8" s="44"/>
      <c r="G8" s="56">
        <f>VLOOKUP(A8,Senha!$A$2:$G$148,7,FALSE)</f>
        <v>4618</v>
      </c>
      <c r="H8" s="45" t="s">
        <v>46</v>
      </c>
      <c r="I8" s="62">
        <v>40</v>
      </c>
      <c r="J8" s="62" t="s">
        <v>154</v>
      </c>
      <c r="K8" s="62" t="s">
        <v>178</v>
      </c>
      <c r="L8" s="44"/>
      <c r="M8" s="62" t="s">
        <v>264</v>
      </c>
      <c r="N8" s="62" t="s">
        <v>303</v>
      </c>
      <c r="O8" s="62" t="s">
        <v>226</v>
      </c>
      <c r="P8" s="62" t="s">
        <v>218</v>
      </c>
      <c r="Q8" s="62" t="s">
        <v>178</v>
      </c>
    </row>
    <row r="9" spans="1:17" ht="12" customHeight="1" x14ac:dyDescent="0.2">
      <c r="A9" s="62">
        <v>744255</v>
      </c>
      <c r="B9" s="62" t="s">
        <v>191</v>
      </c>
      <c r="C9" s="44"/>
      <c r="D9" s="44"/>
      <c r="E9" s="44"/>
      <c r="F9" s="44"/>
      <c r="G9" s="56">
        <f>VLOOKUP(A9,Senha!$A$2:$G$148,7,FALSE)</f>
        <v>7442</v>
      </c>
      <c r="H9" s="45" t="s">
        <v>46</v>
      </c>
      <c r="I9" s="62">
        <v>30</v>
      </c>
      <c r="J9" s="62" t="s">
        <v>124</v>
      </c>
      <c r="K9" s="62" t="s">
        <v>223</v>
      </c>
      <c r="L9" s="46"/>
      <c r="M9" s="62" t="s">
        <v>178</v>
      </c>
      <c r="N9" s="62" t="s">
        <v>304</v>
      </c>
      <c r="O9" s="62" t="s">
        <v>374</v>
      </c>
      <c r="P9" s="62" t="s">
        <v>212</v>
      </c>
      <c r="Q9" s="62" t="s">
        <v>178</v>
      </c>
    </row>
    <row r="10" spans="1:17" ht="12" customHeight="1" x14ac:dyDescent="0.2">
      <c r="A10" s="62">
        <v>404926</v>
      </c>
      <c r="B10" s="62" t="s">
        <v>130</v>
      </c>
      <c r="C10" s="44"/>
      <c r="D10" s="44"/>
      <c r="E10" s="44"/>
      <c r="F10" s="44"/>
      <c r="G10" s="56">
        <f>VLOOKUP(A10,Senha!$A$2:$G$148,7,FALSE)</f>
        <v>9475</v>
      </c>
      <c r="H10" s="45" t="s">
        <v>46</v>
      </c>
      <c r="I10" s="62">
        <v>40</v>
      </c>
      <c r="J10" s="62" t="s">
        <v>124</v>
      </c>
      <c r="K10" s="62" t="s">
        <v>178</v>
      </c>
      <c r="L10" s="44"/>
      <c r="M10" s="62" t="s">
        <v>265</v>
      </c>
      <c r="N10" s="62" t="s">
        <v>305</v>
      </c>
      <c r="O10" s="62" t="s">
        <v>375</v>
      </c>
      <c r="P10" s="62" t="s">
        <v>178</v>
      </c>
      <c r="Q10" s="62" t="s">
        <v>197</v>
      </c>
    </row>
    <row r="11" spans="1:17" ht="12" customHeight="1" x14ac:dyDescent="0.2">
      <c r="A11" s="62">
        <v>713872</v>
      </c>
      <c r="B11" s="62" t="s">
        <v>165</v>
      </c>
      <c r="C11" s="44"/>
      <c r="D11" s="44"/>
      <c r="E11" s="44"/>
      <c r="F11" s="44"/>
      <c r="G11" s="56">
        <f>VLOOKUP(A11,Senha!$A$2:$G$148,7,FALSE)</f>
        <v>7138</v>
      </c>
      <c r="H11" s="45" t="s">
        <v>46</v>
      </c>
      <c r="I11" s="62">
        <v>30</v>
      </c>
      <c r="J11" s="62" t="s">
        <v>124</v>
      </c>
      <c r="K11" s="62" t="s">
        <v>178</v>
      </c>
      <c r="L11" s="44"/>
      <c r="M11" s="62" t="s">
        <v>266</v>
      </c>
      <c r="N11" s="62" t="s">
        <v>306</v>
      </c>
      <c r="O11" s="62" t="s">
        <v>376</v>
      </c>
      <c r="P11" s="62" t="s">
        <v>178</v>
      </c>
      <c r="Q11" s="62" t="s">
        <v>468</v>
      </c>
    </row>
    <row r="12" spans="1:17" ht="12" customHeight="1" x14ac:dyDescent="0.2">
      <c r="A12" s="62">
        <v>519863</v>
      </c>
      <c r="B12" s="62" t="s">
        <v>131</v>
      </c>
      <c r="C12" s="44"/>
      <c r="D12" s="44"/>
      <c r="E12" s="44"/>
      <c r="F12" s="44"/>
      <c r="G12" s="56">
        <f>VLOOKUP(A12,Senha!$A$2:$G$148,7,FALSE)</f>
        <v>3714</v>
      </c>
      <c r="H12" s="45" t="s">
        <v>46</v>
      </c>
      <c r="I12" s="62">
        <v>30</v>
      </c>
      <c r="J12" s="62" t="s">
        <v>124</v>
      </c>
      <c r="K12" s="62" t="s">
        <v>224</v>
      </c>
      <c r="L12" s="46"/>
      <c r="M12" s="62" t="s">
        <v>178</v>
      </c>
      <c r="N12" s="62" t="s">
        <v>307</v>
      </c>
      <c r="O12" s="62" t="s">
        <v>377</v>
      </c>
      <c r="P12" s="62" t="s">
        <v>447</v>
      </c>
      <c r="Q12" s="62" t="s">
        <v>178</v>
      </c>
    </row>
    <row r="13" spans="1:17" ht="12" customHeight="1" x14ac:dyDescent="0.2">
      <c r="A13" s="62">
        <v>724440</v>
      </c>
      <c r="B13" s="62" t="s">
        <v>166</v>
      </c>
      <c r="C13" s="44"/>
      <c r="D13" s="44"/>
      <c r="E13" s="44"/>
      <c r="F13" s="44"/>
      <c r="G13" s="56">
        <f>VLOOKUP(A13,Senha!$A$2:$G$148,7,FALSE)</f>
        <v>7244</v>
      </c>
      <c r="H13" s="45" t="s">
        <v>46</v>
      </c>
      <c r="I13" s="62">
        <v>20</v>
      </c>
      <c r="J13" s="62" t="s">
        <v>124</v>
      </c>
      <c r="K13" s="62" t="s">
        <v>203</v>
      </c>
      <c r="L13" s="44"/>
      <c r="M13" s="62" t="s">
        <v>178</v>
      </c>
      <c r="N13" s="62" t="s">
        <v>286</v>
      </c>
      <c r="O13" s="62" t="s">
        <v>378</v>
      </c>
      <c r="P13" s="62" t="s">
        <v>448</v>
      </c>
      <c r="Q13" s="62" t="s">
        <v>178</v>
      </c>
    </row>
    <row r="14" spans="1:17" ht="12" customHeight="1" x14ac:dyDescent="0.2">
      <c r="A14" s="62">
        <v>259489</v>
      </c>
      <c r="B14" s="62" t="s">
        <v>132</v>
      </c>
      <c r="C14" s="44"/>
      <c r="D14" s="44"/>
      <c r="E14" s="44"/>
      <c r="F14" s="44"/>
      <c r="G14" s="56">
        <f>VLOOKUP(A14,Senha!$A$2:$G$148,7,FALSE)</f>
        <v>1420</v>
      </c>
      <c r="H14" s="45" t="s">
        <v>46</v>
      </c>
      <c r="I14" s="62">
        <v>40</v>
      </c>
      <c r="J14" s="62" t="s">
        <v>124</v>
      </c>
      <c r="K14" s="62" t="s">
        <v>178</v>
      </c>
      <c r="L14" s="44"/>
      <c r="M14" s="62" t="s">
        <v>194</v>
      </c>
      <c r="N14" s="62" t="s">
        <v>308</v>
      </c>
      <c r="O14" s="62" t="s">
        <v>208</v>
      </c>
      <c r="P14" s="62" t="s">
        <v>178</v>
      </c>
      <c r="Q14" s="62" t="s">
        <v>206</v>
      </c>
    </row>
    <row r="15" spans="1:17" ht="12" customHeight="1" x14ac:dyDescent="0.2">
      <c r="A15" s="62">
        <v>734411</v>
      </c>
      <c r="B15" s="62" t="s">
        <v>181</v>
      </c>
      <c r="C15" s="44"/>
      <c r="D15" s="44"/>
      <c r="E15" s="44"/>
      <c r="F15" s="44"/>
      <c r="G15" s="56">
        <f>VLOOKUP(A15,Senha!$A$2:$G$148,7,FALSE)</f>
        <v>7344</v>
      </c>
      <c r="H15" s="45" t="s">
        <v>46</v>
      </c>
      <c r="I15" s="62">
        <v>30</v>
      </c>
      <c r="J15" s="62" t="s">
        <v>124</v>
      </c>
      <c r="K15" s="62" t="s">
        <v>225</v>
      </c>
      <c r="L15" s="44"/>
      <c r="M15" s="62" t="s">
        <v>178</v>
      </c>
      <c r="N15" s="62" t="s">
        <v>309</v>
      </c>
      <c r="O15" s="62" t="s">
        <v>379</v>
      </c>
      <c r="P15" s="62" t="s">
        <v>449</v>
      </c>
      <c r="Q15" s="62" t="s">
        <v>178</v>
      </c>
    </row>
    <row r="16" spans="1:17" ht="12" customHeight="1" x14ac:dyDescent="0.2">
      <c r="A16" s="62">
        <v>539139</v>
      </c>
      <c r="B16" s="62" t="s">
        <v>133</v>
      </c>
      <c r="C16" s="44"/>
      <c r="D16" s="44"/>
      <c r="E16" s="44"/>
      <c r="F16" s="44"/>
      <c r="G16" s="56">
        <f>VLOOKUP(A16,Senha!$A$2:$G$148,7,FALSE)</f>
        <v>9273</v>
      </c>
      <c r="H16" s="45" t="s">
        <v>46</v>
      </c>
      <c r="I16" s="62">
        <v>40</v>
      </c>
      <c r="J16" s="62" t="s">
        <v>124</v>
      </c>
      <c r="K16" s="62" t="s">
        <v>178</v>
      </c>
      <c r="L16" s="44"/>
      <c r="M16" s="62" t="s">
        <v>266</v>
      </c>
      <c r="N16" s="62" t="s">
        <v>218</v>
      </c>
      <c r="O16" s="62" t="s">
        <v>380</v>
      </c>
      <c r="P16" s="62" t="s">
        <v>178</v>
      </c>
      <c r="Q16" s="62" t="s">
        <v>494</v>
      </c>
    </row>
    <row r="17" spans="1:20" ht="12" customHeight="1" x14ac:dyDescent="0.2">
      <c r="A17" s="62">
        <v>735515</v>
      </c>
      <c r="B17" s="62" t="s">
        <v>182</v>
      </c>
      <c r="C17" s="44"/>
      <c r="D17" s="44"/>
      <c r="E17" s="44"/>
      <c r="F17" s="44"/>
      <c r="G17" s="56">
        <f>VLOOKUP(A17,Senha!$A$2:$G$148,7,FALSE)</f>
        <v>7355</v>
      </c>
      <c r="H17" s="45" t="s">
        <v>46</v>
      </c>
      <c r="I17" s="62">
        <v>30</v>
      </c>
      <c r="J17" s="62" t="s">
        <v>124</v>
      </c>
      <c r="K17" s="62" t="s">
        <v>226</v>
      </c>
      <c r="L17" s="44"/>
      <c r="M17" s="62" t="s">
        <v>178</v>
      </c>
      <c r="N17" s="62" t="s">
        <v>310</v>
      </c>
      <c r="O17" s="62" t="s">
        <v>381</v>
      </c>
      <c r="P17" s="62" t="s">
        <v>450</v>
      </c>
      <c r="Q17" s="62" t="s">
        <v>178</v>
      </c>
    </row>
    <row r="18" spans="1:20" ht="12" customHeight="1" x14ac:dyDescent="0.2">
      <c r="A18" s="62">
        <v>308846</v>
      </c>
      <c r="B18" s="62" t="s">
        <v>134</v>
      </c>
      <c r="C18" s="44"/>
      <c r="D18" s="44"/>
      <c r="E18" s="44"/>
      <c r="F18" s="44"/>
      <c r="G18" s="56">
        <f>VLOOKUP(A18,Senha!$A$2:$G$148,7,FALSE)</f>
        <v>1621</v>
      </c>
      <c r="H18" s="47" t="s">
        <v>46</v>
      </c>
      <c r="I18" s="62">
        <v>40</v>
      </c>
      <c r="J18" s="62" t="s">
        <v>153</v>
      </c>
      <c r="K18" s="62" t="s">
        <v>199</v>
      </c>
      <c r="L18" s="48"/>
      <c r="M18" s="62" t="s">
        <v>178</v>
      </c>
      <c r="N18" s="62" t="s">
        <v>311</v>
      </c>
      <c r="O18" s="62" t="s">
        <v>382</v>
      </c>
      <c r="P18" s="62" t="s">
        <v>178</v>
      </c>
      <c r="Q18" s="62" t="s">
        <v>495</v>
      </c>
      <c r="R18" s="49"/>
      <c r="S18" s="49"/>
      <c r="T18" s="49"/>
    </row>
    <row r="19" spans="1:20" ht="12" customHeight="1" x14ac:dyDescent="0.2">
      <c r="A19" s="62">
        <v>245437</v>
      </c>
      <c r="B19" s="62" t="s">
        <v>135</v>
      </c>
      <c r="C19" s="48"/>
      <c r="D19" s="48"/>
      <c r="E19" s="48"/>
      <c r="F19" s="48"/>
      <c r="G19" s="56">
        <f>VLOOKUP(A19,Senha!$A$2:$G$148,7,FALSE)</f>
        <v>2311</v>
      </c>
      <c r="H19" s="47" t="s">
        <v>46</v>
      </c>
      <c r="I19" s="62">
        <v>30</v>
      </c>
      <c r="J19" s="62" t="s">
        <v>124</v>
      </c>
      <c r="K19" s="62" t="s">
        <v>183</v>
      </c>
      <c r="L19" s="50"/>
      <c r="M19" s="62" t="s">
        <v>178</v>
      </c>
      <c r="N19" s="62" t="s">
        <v>312</v>
      </c>
      <c r="O19" s="62" t="s">
        <v>383</v>
      </c>
      <c r="P19" s="62" t="s">
        <v>451</v>
      </c>
      <c r="Q19" s="62" t="s">
        <v>178</v>
      </c>
      <c r="R19" s="49"/>
      <c r="S19" s="49"/>
      <c r="T19" s="49"/>
    </row>
    <row r="20" spans="1:20" ht="12" customHeight="1" x14ac:dyDescent="0.2">
      <c r="A20" s="62">
        <v>408514</v>
      </c>
      <c r="B20" s="62" t="s">
        <v>136</v>
      </c>
      <c r="C20" s="48"/>
      <c r="D20" s="48"/>
      <c r="E20" s="48"/>
      <c r="F20" s="48"/>
      <c r="G20" s="56">
        <f>VLOOKUP(A20,Senha!$A$2:$G$148,7,FALSE)</f>
        <v>2412</v>
      </c>
      <c r="H20" s="47" t="s">
        <v>46</v>
      </c>
      <c r="I20" s="62">
        <v>30</v>
      </c>
      <c r="J20" s="62" t="s">
        <v>124</v>
      </c>
      <c r="K20" s="62" t="s">
        <v>227</v>
      </c>
      <c r="L20" s="48"/>
      <c r="M20" s="62" t="s">
        <v>178</v>
      </c>
      <c r="N20" s="62" t="s">
        <v>313</v>
      </c>
      <c r="O20" s="62" t="s">
        <v>384</v>
      </c>
      <c r="P20" s="62" t="s">
        <v>452</v>
      </c>
      <c r="Q20" s="62" t="s">
        <v>178</v>
      </c>
      <c r="R20" s="49"/>
      <c r="S20" s="49"/>
      <c r="T20" s="49"/>
    </row>
    <row r="21" spans="1:20" ht="12" customHeight="1" x14ac:dyDescent="0.2">
      <c r="A21" s="62">
        <v>535753</v>
      </c>
      <c r="B21" s="62" t="s">
        <v>137</v>
      </c>
      <c r="C21" s="48"/>
      <c r="D21" s="48"/>
      <c r="E21" s="48"/>
      <c r="F21" s="48"/>
      <c r="G21" s="56">
        <f>VLOOKUP(A21,Senha!$A$2:$G$148,7,FALSE)</f>
        <v>5537</v>
      </c>
      <c r="H21" s="47" t="s">
        <v>46</v>
      </c>
      <c r="I21" s="62">
        <v>30</v>
      </c>
      <c r="J21" s="62" t="s">
        <v>124</v>
      </c>
      <c r="K21" s="62" t="s">
        <v>228</v>
      </c>
      <c r="L21" s="48"/>
      <c r="M21" s="62" t="s">
        <v>178</v>
      </c>
      <c r="N21" s="62" t="s">
        <v>314</v>
      </c>
      <c r="O21" s="62" t="s">
        <v>385</v>
      </c>
      <c r="P21" s="62" t="s">
        <v>453</v>
      </c>
      <c r="Q21" s="62" t="s">
        <v>178</v>
      </c>
      <c r="R21" s="49"/>
      <c r="S21" s="49"/>
      <c r="T21" s="49"/>
    </row>
    <row r="22" spans="1:20" ht="12" customHeight="1" x14ac:dyDescent="0.2">
      <c r="A22" s="62">
        <v>659282</v>
      </c>
      <c r="B22" s="62" t="s">
        <v>138</v>
      </c>
      <c r="C22" s="48"/>
      <c r="D22" s="48"/>
      <c r="E22" s="48"/>
      <c r="F22" s="48"/>
      <c r="G22" s="56">
        <f>VLOOKUP(A22,Senha!$A$2:$G$148,7,FALSE)</f>
        <v>9015</v>
      </c>
      <c r="H22" s="47" t="s">
        <v>46</v>
      </c>
      <c r="I22" s="62">
        <v>44</v>
      </c>
      <c r="J22" s="62" t="s">
        <v>124</v>
      </c>
      <c r="K22" s="62" t="s">
        <v>229</v>
      </c>
      <c r="L22" s="48"/>
      <c r="M22" s="62" t="s">
        <v>178</v>
      </c>
      <c r="N22" s="62" t="s">
        <v>315</v>
      </c>
      <c r="O22" s="62" t="s">
        <v>386</v>
      </c>
      <c r="P22" s="62" t="s">
        <v>387</v>
      </c>
      <c r="Q22" s="62" t="s">
        <v>178</v>
      </c>
      <c r="R22" s="49"/>
      <c r="S22" s="49"/>
      <c r="T22" s="49"/>
    </row>
    <row r="23" spans="1:20" ht="12" customHeight="1" x14ac:dyDescent="0.2">
      <c r="A23" s="62">
        <v>739812</v>
      </c>
      <c r="B23" s="62" t="s">
        <v>184</v>
      </c>
      <c r="C23" s="48"/>
      <c r="D23" s="48"/>
      <c r="E23" s="48"/>
      <c r="F23" s="48"/>
      <c r="G23" s="56">
        <f>VLOOKUP(A23,Senha!$A$2:$G$148,7,FALSE)</f>
        <v>7398</v>
      </c>
      <c r="H23" s="47" t="s">
        <v>46</v>
      </c>
      <c r="I23" s="62">
        <v>24</v>
      </c>
      <c r="J23" s="62" t="s">
        <v>151</v>
      </c>
      <c r="K23" s="62" t="s">
        <v>230</v>
      </c>
      <c r="L23" s="48"/>
      <c r="M23" s="62" t="s">
        <v>178</v>
      </c>
      <c r="N23" s="62" t="s">
        <v>252</v>
      </c>
      <c r="O23" s="62" t="s">
        <v>387</v>
      </c>
      <c r="P23" s="62" t="s">
        <v>385</v>
      </c>
      <c r="Q23" s="62" t="s">
        <v>178</v>
      </c>
      <c r="R23" s="49"/>
      <c r="S23" s="49"/>
      <c r="T23" s="49"/>
    </row>
    <row r="24" spans="1:20" ht="12" customHeight="1" x14ac:dyDescent="0.2">
      <c r="A24" s="62">
        <v>100331</v>
      </c>
      <c r="B24" s="62" t="s">
        <v>139</v>
      </c>
      <c r="C24" s="48"/>
      <c r="D24" s="48"/>
      <c r="E24" s="48"/>
      <c r="F24" s="48"/>
      <c r="G24" s="56">
        <f>VLOOKUP(A24,Senha!$A$2:$G$148,7,FALSE)</f>
        <v>2513</v>
      </c>
      <c r="H24" s="47" t="s">
        <v>46</v>
      </c>
      <c r="I24" s="62">
        <v>40</v>
      </c>
      <c r="J24" s="62" t="s">
        <v>124</v>
      </c>
      <c r="K24" s="62" t="s">
        <v>231</v>
      </c>
      <c r="L24" s="48"/>
      <c r="M24" s="62" t="s">
        <v>178</v>
      </c>
      <c r="N24" s="62" t="s">
        <v>316</v>
      </c>
      <c r="O24" s="62" t="s">
        <v>205</v>
      </c>
      <c r="P24" s="62" t="s">
        <v>454</v>
      </c>
      <c r="Q24" s="62" t="s">
        <v>178</v>
      </c>
      <c r="R24" s="49"/>
      <c r="S24" s="49"/>
      <c r="T24" s="49"/>
    </row>
    <row r="25" spans="1:20" ht="12" customHeight="1" x14ac:dyDescent="0.2">
      <c r="A25" s="62">
        <v>276421</v>
      </c>
      <c r="B25" s="62" t="s">
        <v>161</v>
      </c>
      <c r="C25" s="48"/>
      <c r="D25" s="48"/>
      <c r="E25" s="48"/>
      <c r="F25" s="48"/>
      <c r="G25" s="56">
        <f>VLOOKUP(A25,Senha!$A$2:$G$148,7,FALSE)</f>
        <v>2115</v>
      </c>
      <c r="H25" s="47" t="s">
        <v>46</v>
      </c>
      <c r="I25" s="62">
        <v>40</v>
      </c>
      <c r="J25" s="62" t="s">
        <v>152</v>
      </c>
      <c r="K25" s="62" t="s">
        <v>178</v>
      </c>
      <c r="L25" s="48"/>
      <c r="M25" s="62" t="s">
        <v>267</v>
      </c>
      <c r="N25" s="62" t="s">
        <v>317</v>
      </c>
      <c r="O25" s="62" t="s">
        <v>388</v>
      </c>
      <c r="P25" s="62" t="s">
        <v>178</v>
      </c>
      <c r="Q25" s="62" t="s">
        <v>210</v>
      </c>
      <c r="R25" s="49"/>
      <c r="S25" s="49"/>
      <c r="T25" s="49"/>
    </row>
    <row r="26" spans="1:20" ht="12" customHeight="1" x14ac:dyDescent="0.2">
      <c r="A26" s="62">
        <v>97713</v>
      </c>
      <c r="B26" s="62" t="s">
        <v>140</v>
      </c>
      <c r="C26" s="48"/>
      <c r="D26" s="48"/>
      <c r="E26" s="48"/>
      <c r="F26" s="48"/>
      <c r="G26" s="56">
        <f>VLOOKUP(A26,Senha!$A$2:$G$148,7,FALSE)</f>
        <v>415</v>
      </c>
      <c r="H26" s="47" t="s">
        <v>46</v>
      </c>
      <c r="I26" s="62">
        <v>40</v>
      </c>
      <c r="J26" s="62" t="s">
        <v>124</v>
      </c>
      <c r="K26" s="62" t="s">
        <v>178</v>
      </c>
      <c r="L26" s="50"/>
      <c r="M26" s="62" t="s">
        <v>183</v>
      </c>
      <c r="N26" s="62" t="s">
        <v>178</v>
      </c>
      <c r="O26" s="62" t="s">
        <v>178</v>
      </c>
      <c r="P26" s="62" t="s">
        <v>178</v>
      </c>
      <c r="Q26" s="62" t="s">
        <v>178</v>
      </c>
      <c r="R26" s="49"/>
      <c r="S26" s="49"/>
      <c r="T26" s="49"/>
    </row>
    <row r="27" spans="1:20" ht="12" customHeight="1" x14ac:dyDescent="0.2">
      <c r="A27" s="62">
        <v>67547</v>
      </c>
      <c r="B27" s="62" t="s">
        <v>141</v>
      </c>
      <c r="C27" s="48"/>
      <c r="D27" s="48"/>
      <c r="E27" s="48"/>
      <c r="F27" s="48"/>
      <c r="G27" s="56">
        <f>VLOOKUP(A27,Senha!$A$2:$G$148,7,FALSE)</f>
        <v>3016</v>
      </c>
      <c r="H27" s="47" t="s">
        <v>46</v>
      </c>
      <c r="I27" s="62">
        <v>40</v>
      </c>
      <c r="J27" s="62" t="s">
        <v>152</v>
      </c>
      <c r="K27" s="62" t="s">
        <v>178</v>
      </c>
      <c r="L27" s="50"/>
      <c r="M27" s="62" t="s">
        <v>201</v>
      </c>
      <c r="N27" s="62" t="s">
        <v>318</v>
      </c>
      <c r="O27" s="62" t="s">
        <v>389</v>
      </c>
      <c r="P27" s="62" t="s">
        <v>178</v>
      </c>
      <c r="Q27" s="62" t="s">
        <v>219</v>
      </c>
      <c r="R27" s="49"/>
      <c r="S27" s="49"/>
      <c r="T27" s="49"/>
    </row>
    <row r="28" spans="1:20" ht="12" customHeight="1" x14ac:dyDescent="0.2">
      <c r="A28" s="62">
        <v>743178</v>
      </c>
      <c r="B28" s="62" t="s">
        <v>188</v>
      </c>
      <c r="C28" s="48"/>
      <c r="D28" s="48"/>
      <c r="E28" s="48"/>
      <c r="F28" s="48"/>
      <c r="G28" s="56">
        <f>VLOOKUP(A28,Senha!$A$2:$G$148,7,FALSE)</f>
        <v>7431</v>
      </c>
      <c r="H28" s="47" t="s">
        <v>46</v>
      </c>
      <c r="I28" s="62">
        <v>30</v>
      </c>
      <c r="J28" s="62" t="s">
        <v>154</v>
      </c>
      <c r="K28" s="62" t="s">
        <v>178</v>
      </c>
      <c r="L28" s="48"/>
      <c r="M28" s="62" t="s">
        <v>268</v>
      </c>
      <c r="N28" s="62" t="s">
        <v>209</v>
      </c>
      <c r="O28" s="62" t="s">
        <v>390</v>
      </c>
      <c r="P28" s="62" t="s">
        <v>361</v>
      </c>
      <c r="Q28" s="62" t="s">
        <v>178</v>
      </c>
      <c r="R28" s="49"/>
      <c r="S28" s="49"/>
      <c r="T28" s="49"/>
    </row>
    <row r="29" spans="1:20" ht="12" customHeight="1" x14ac:dyDescent="0.2">
      <c r="A29" s="62">
        <v>483419</v>
      </c>
      <c r="B29" s="62" t="s">
        <v>142</v>
      </c>
      <c r="C29" s="48"/>
      <c r="D29" s="48"/>
      <c r="E29" s="48"/>
      <c r="F29" s="48"/>
      <c r="G29" s="56">
        <f>VLOOKUP(A29,Senha!$A$2:$G$148,7,FALSE)</f>
        <v>3319</v>
      </c>
      <c r="H29" s="47" t="s">
        <v>46</v>
      </c>
      <c r="I29" s="62">
        <v>40</v>
      </c>
      <c r="J29" s="62" t="s">
        <v>124</v>
      </c>
      <c r="K29" s="62" t="s">
        <v>178</v>
      </c>
      <c r="L29" s="48"/>
      <c r="M29" s="62" t="s">
        <v>269</v>
      </c>
      <c r="N29" s="62" t="s">
        <v>276</v>
      </c>
      <c r="O29" s="62" t="s">
        <v>391</v>
      </c>
      <c r="P29" s="62" t="s">
        <v>178</v>
      </c>
      <c r="Q29" s="62" t="s">
        <v>496</v>
      </c>
      <c r="R29" s="49"/>
      <c r="S29" s="49"/>
      <c r="T29" s="49"/>
    </row>
    <row r="30" spans="1:20" ht="12" customHeight="1" x14ac:dyDescent="0.2">
      <c r="A30" s="62">
        <v>435988</v>
      </c>
      <c r="B30" s="62" t="s">
        <v>143</v>
      </c>
      <c r="C30" s="48"/>
      <c r="D30" s="48"/>
      <c r="E30" s="48"/>
      <c r="F30" s="48"/>
      <c r="G30" s="56">
        <f>VLOOKUP(A30,Senha!$A$2:$G$148,7,FALSE)</f>
        <v>4020</v>
      </c>
      <c r="H30" s="47" t="s">
        <v>46</v>
      </c>
      <c r="I30" s="62">
        <v>30</v>
      </c>
      <c r="J30" s="62" t="s">
        <v>154</v>
      </c>
      <c r="K30" s="62" t="s">
        <v>232</v>
      </c>
      <c r="L30" s="50"/>
      <c r="M30" s="62" t="s">
        <v>178</v>
      </c>
      <c r="N30" s="62" t="s">
        <v>178</v>
      </c>
      <c r="O30" s="62" t="s">
        <v>178</v>
      </c>
      <c r="P30" s="62" t="s">
        <v>232</v>
      </c>
      <c r="Q30" s="62" t="s">
        <v>178</v>
      </c>
      <c r="R30" s="49"/>
      <c r="S30" s="49"/>
      <c r="T30" s="49"/>
    </row>
    <row r="31" spans="1:20" ht="12" customHeight="1" x14ac:dyDescent="0.2">
      <c r="A31" s="62">
        <v>462306</v>
      </c>
      <c r="B31" s="62" t="s">
        <v>144</v>
      </c>
      <c r="C31" s="48"/>
      <c r="D31" s="48"/>
      <c r="E31" s="48"/>
      <c r="F31" s="48"/>
      <c r="G31" s="56">
        <f>VLOOKUP(A31,Senha!$A$2:$G$148,7,FALSE)</f>
        <v>4121</v>
      </c>
      <c r="H31" s="47" t="s">
        <v>46</v>
      </c>
      <c r="I31" s="62">
        <v>40</v>
      </c>
      <c r="J31" s="62" t="s">
        <v>124</v>
      </c>
      <c r="K31" s="62" t="s">
        <v>190</v>
      </c>
      <c r="L31" s="48"/>
      <c r="M31" s="62" t="s">
        <v>178</v>
      </c>
      <c r="N31" s="62" t="s">
        <v>235</v>
      </c>
      <c r="O31" s="62" t="s">
        <v>392</v>
      </c>
      <c r="P31" s="62" t="s">
        <v>455</v>
      </c>
      <c r="Q31" s="62" t="s">
        <v>178</v>
      </c>
      <c r="R31" s="49"/>
      <c r="S31" s="49"/>
      <c r="T31" s="49"/>
    </row>
    <row r="32" spans="1:20" ht="12" customHeight="1" x14ac:dyDescent="0.2">
      <c r="A32" s="62">
        <v>276545</v>
      </c>
      <c r="B32" s="62" t="s">
        <v>145</v>
      </c>
      <c r="C32" s="48"/>
      <c r="D32" s="48"/>
      <c r="E32" s="48"/>
      <c r="F32" s="48"/>
      <c r="G32" s="56">
        <f>VLOOKUP(A32,Senha!$A$2:$G$148,7,FALSE)</f>
        <v>4222</v>
      </c>
      <c r="H32" s="47" t="s">
        <v>46</v>
      </c>
      <c r="I32" s="62">
        <v>21</v>
      </c>
      <c r="J32" s="62" t="s">
        <v>152</v>
      </c>
      <c r="K32" s="62" t="s">
        <v>233</v>
      </c>
      <c r="L32" s="48"/>
      <c r="M32" s="62" t="s">
        <v>178</v>
      </c>
      <c r="N32" s="62" t="s">
        <v>319</v>
      </c>
      <c r="O32" s="62" t="s">
        <v>393</v>
      </c>
      <c r="P32" s="62" t="s">
        <v>456</v>
      </c>
      <c r="Q32" s="62" t="s">
        <v>178</v>
      </c>
      <c r="R32" s="49"/>
      <c r="S32" s="49"/>
      <c r="T32" s="49"/>
    </row>
    <row r="33" spans="1:20" ht="12" customHeight="1" x14ac:dyDescent="0.2">
      <c r="A33" s="62">
        <v>638480</v>
      </c>
      <c r="B33" s="62" t="s">
        <v>146</v>
      </c>
      <c r="C33" s="48"/>
      <c r="D33" s="48"/>
      <c r="E33" s="48"/>
      <c r="F33" s="48"/>
      <c r="G33" s="56">
        <f>VLOOKUP(A33,Senha!$A$2:$G$148,7,FALSE)</f>
        <v>8869</v>
      </c>
      <c r="H33" s="47" t="s">
        <v>46</v>
      </c>
      <c r="I33" s="62">
        <v>40</v>
      </c>
      <c r="J33" s="62" t="s">
        <v>124</v>
      </c>
      <c r="K33" s="62" t="s">
        <v>234</v>
      </c>
      <c r="L33" s="48"/>
      <c r="M33" s="62" t="s">
        <v>178</v>
      </c>
      <c r="N33" s="62" t="s">
        <v>320</v>
      </c>
      <c r="O33" s="62" t="s">
        <v>394</v>
      </c>
      <c r="P33" s="62" t="s">
        <v>457</v>
      </c>
      <c r="Q33" s="62" t="s">
        <v>178</v>
      </c>
      <c r="R33" s="49"/>
      <c r="S33" s="49"/>
      <c r="T33" s="49"/>
    </row>
    <row r="34" spans="1:20" ht="12" customHeight="1" x14ac:dyDescent="0.2">
      <c r="A34" s="62">
        <v>538566</v>
      </c>
      <c r="B34" s="62" t="s">
        <v>147</v>
      </c>
      <c r="C34" s="48"/>
      <c r="D34" s="48"/>
      <c r="E34" s="48"/>
      <c r="F34" s="48"/>
      <c r="G34" s="56">
        <f>VLOOKUP(A34,Senha!$A$2:$G$148,7,FALSE)</f>
        <v>9687</v>
      </c>
      <c r="H34" s="47" t="s">
        <v>46</v>
      </c>
      <c r="I34" s="62">
        <v>40</v>
      </c>
      <c r="J34" s="62" t="s">
        <v>152</v>
      </c>
      <c r="K34" s="62" t="s">
        <v>178</v>
      </c>
      <c r="L34" s="50"/>
      <c r="M34" s="62" t="s">
        <v>270</v>
      </c>
      <c r="N34" s="62" t="s">
        <v>321</v>
      </c>
      <c r="O34" s="62" t="s">
        <v>395</v>
      </c>
      <c r="P34" s="62" t="s">
        <v>219</v>
      </c>
      <c r="Q34" s="62" t="s">
        <v>178</v>
      </c>
      <c r="R34" s="49"/>
      <c r="S34" s="49"/>
      <c r="T34" s="49"/>
    </row>
    <row r="35" spans="1:20" ht="12" customHeight="1" x14ac:dyDescent="0.2">
      <c r="A35" s="62">
        <v>733199</v>
      </c>
      <c r="B35" s="62" t="s">
        <v>179</v>
      </c>
      <c r="C35" s="48"/>
      <c r="D35" s="48"/>
      <c r="E35" s="48"/>
      <c r="F35" s="48"/>
      <c r="G35" s="56">
        <f>VLOOKUP(A35,Senha!$A$2:$G$148,7,FALSE)</f>
        <v>7331</v>
      </c>
      <c r="H35" s="47" t="s">
        <v>46</v>
      </c>
      <c r="I35" s="62">
        <v>44</v>
      </c>
      <c r="J35" s="62" t="s">
        <v>154</v>
      </c>
      <c r="K35" s="62" t="s">
        <v>178</v>
      </c>
      <c r="L35" s="48"/>
      <c r="M35" s="62" t="s">
        <v>271</v>
      </c>
      <c r="N35" s="62" t="s">
        <v>316</v>
      </c>
      <c r="O35" s="62" t="s">
        <v>254</v>
      </c>
      <c r="P35" s="62" t="s">
        <v>178</v>
      </c>
      <c r="Q35" s="62" t="s">
        <v>200</v>
      </c>
      <c r="R35" s="49"/>
      <c r="S35" s="49"/>
      <c r="T35" s="49"/>
    </row>
    <row r="36" spans="1:20" ht="12" customHeight="1" x14ac:dyDescent="0.2">
      <c r="A36" s="62">
        <v>683094</v>
      </c>
      <c r="B36" s="62" t="s">
        <v>148</v>
      </c>
      <c r="C36" s="48"/>
      <c r="D36" s="48"/>
      <c r="E36" s="48"/>
      <c r="F36" s="48"/>
      <c r="G36" s="56">
        <f>VLOOKUP(A36,Senha!$A$2:$G$148,7,FALSE)</f>
        <v>3714</v>
      </c>
      <c r="H36" s="47" t="s">
        <v>46</v>
      </c>
      <c r="I36" s="62">
        <v>40</v>
      </c>
      <c r="J36" s="62" t="s">
        <v>151</v>
      </c>
      <c r="K36" s="62" t="s">
        <v>235</v>
      </c>
      <c r="L36" s="50"/>
      <c r="M36" s="62" t="s">
        <v>178</v>
      </c>
      <c r="N36" s="62" t="s">
        <v>322</v>
      </c>
      <c r="O36" s="62" t="s">
        <v>396</v>
      </c>
      <c r="P36" s="62" t="s">
        <v>458</v>
      </c>
      <c r="Q36" s="62" t="s">
        <v>178</v>
      </c>
      <c r="R36" s="49"/>
      <c r="S36" s="49"/>
      <c r="T36" s="49"/>
    </row>
    <row r="37" spans="1:20" ht="12" customHeight="1" x14ac:dyDescent="0.2">
      <c r="A37" s="62">
        <v>696170</v>
      </c>
      <c r="B37" s="62" t="s">
        <v>159</v>
      </c>
      <c r="C37" s="48"/>
      <c r="D37" s="48"/>
      <c r="E37" s="48"/>
      <c r="F37" s="48"/>
      <c r="G37" s="56">
        <f>VLOOKUP(A37,Senha!$A$2:$G$148,7,FALSE)</f>
        <v>6961</v>
      </c>
      <c r="H37" s="47" t="s">
        <v>46</v>
      </c>
      <c r="I37" s="62">
        <v>16</v>
      </c>
      <c r="J37" s="62" t="s">
        <v>152</v>
      </c>
      <c r="K37" s="62" t="s">
        <v>236</v>
      </c>
      <c r="L37" s="50"/>
      <c r="M37" s="62" t="s">
        <v>178</v>
      </c>
      <c r="N37" s="62" t="s">
        <v>178</v>
      </c>
      <c r="O37" s="62" t="s">
        <v>397</v>
      </c>
      <c r="P37" s="62" t="s">
        <v>178</v>
      </c>
      <c r="Q37" s="62" t="s">
        <v>497</v>
      </c>
      <c r="R37" s="49"/>
      <c r="S37" s="49"/>
      <c r="T37" s="49"/>
    </row>
    <row r="38" spans="1:20" ht="12" customHeight="1" x14ac:dyDescent="0.2">
      <c r="A38" s="62">
        <v>573027</v>
      </c>
      <c r="B38" s="62" t="s">
        <v>47</v>
      </c>
      <c r="C38" s="48"/>
      <c r="D38" s="48"/>
      <c r="E38" s="48"/>
      <c r="F38" s="48"/>
      <c r="G38" s="56">
        <f>VLOOKUP(A38,Senha!$A$2:$G$148,7,FALSE)</f>
        <v>8768</v>
      </c>
      <c r="H38" s="47" t="s">
        <v>46</v>
      </c>
      <c r="I38" s="62">
        <v>40</v>
      </c>
      <c r="J38" s="62" t="s">
        <v>124</v>
      </c>
      <c r="K38" s="62" t="s">
        <v>178</v>
      </c>
      <c r="L38" s="50"/>
      <c r="M38" s="62" t="s">
        <v>198</v>
      </c>
      <c r="N38" s="62" t="s">
        <v>216</v>
      </c>
      <c r="O38" s="62" t="s">
        <v>398</v>
      </c>
      <c r="P38" s="62" t="s">
        <v>178</v>
      </c>
      <c r="Q38" s="62" t="s">
        <v>498</v>
      </c>
      <c r="R38" s="49"/>
      <c r="S38" s="49"/>
      <c r="T38" s="49"/>
    </row>
    <row r="39" spans="1:20" ht="12" customHeight="1" x14ac:dyDescent="0.2">
      <c r="A39" s="62">
        <v>733741</v>
      </c>
      <c r="B39" s="62" t="s">
        <v>180</v>
      </c>
      <c r="C39" s="48"/>
      <c r="D39" s="48"/>
      <c r="E39" s="48"/>
      <c r="F39" s="48"/>
      <c r="G39" s="56">
        <f>VLOOKUP(A39,Senha!$A$2:$G$148,7,FALSE)</f>
        <v>7337</v>
      </c>
      <c r="H39" s="47" t="s">
        <v>46</v>
      </c>
      <c r="I39" s="62">
        <v>36</v>
      </c>
      <c r="J39" s="62" t="s">
        <v>154</v>
      </c>
      <c r="K39" s="62" t="s">
        <v>237</v>
      </c>
      <c r="L39" s="50"/>
      <c r="M39" s="62" t="s">
        <v>178</v>
      </c>
      <c r="N39" s="62" t="s">
        <v>323</v>
      </c>
      <c r="O39" s="62" t="s">
        <v>399</v>
      </c>
      <c r="P39" s="62" t="s">
        <v>459</v>
      </c>
      <c r="Q39" s="62" t="s">
        <v>178</v>
      </c>
      <c r="R39" s="49"/>
      <c r="S39" s="49"/>
      <c r="T39" s="49"/>
    </row>
    <row r="40" spans="1:20" ht="12" customHeight="1" x14ac:dyDescent="0.2">
      <c r="A40" s="62">
        <v>700860</v>
      </c>
      <c r="B40" s="62" t="s">
        <v>167</v>
      </c>
      <c r="C40" s="48"/>
      <c r="D40" s="48"/>
      <c r="E40" s="48"/>
      <c r="F40" s="48"/>
      <c r="G40" s="56">
        <f>VLOOKUP(A40,Senha!$A$2:$G$148,7,FALSE)</f>
        <v>7008</v>
      </c>
      <c r="H40" s="47" t="s">
        <v>46</v>
      </c>
      <c r="I40" s="62">
        <v>30</v>
      </c>
      <c r="J40" s="62" t="s">
        <v>154</v>
      </c>
      <c r="K40" s="62" t="s">
        <v>238</v>
      </c>
      <c r="L40" s="48"/>
      <c r="M40" s="62" t="s">
        <v>178</v>
      </c>
      <c r="N40" s="62" t="s">
        <v>324</v>
      </c>
      <c r="O40" s="62" t="s">
        <v>400</v>
      </c>
      <c r="P40" s="62" t="s">
        <v>460</v>
      </c>
      <c r="Q40" s="62" t="s">
        <v>178</v>
      </c>
      <c r="R40" s="49"/>
      <c r="S40" s="49"/>
      <c r="T40" s="49"/>
    </row>
    <row r="41" spans="1:20" ht="12" customHeight="1" x14ac:dyDescent="0.2">
      <c r="A41" s="62">
        <v>272426</v>
      </c>
      <c r="B41" s="62" t="s">
        <v>49</v>
      </c>
      <c r="C41" s="48"/>
      <c r="D41" s="48"/>
      <c r="E41" s="48"/>
      <c r="F41" s="48"/>
      <c r="G41" s="56">
        <f>VLOOKUP(A41,Senha!$A$2:$G$148,7,FALSE)</f>
        <v>5122</v>
      </c>
      <c r="H41" s="45" t="s">
        <v>123</v>
      </c>
      <c r="I41" s="62">
        <v>40</v>
      </c>
      <c r="J41" s="62" t="s">
        <v>124</v>
      </c>
      <c r="K41" s="62" t="s">
        <v>239</v>
      </c>
      <c r="L41" s="50"/>
      <c r="M41" s="62" t="s">
        <v>178</v>
      </c>
      <c r="N41" s="62" t="s">
        <v>325</v>
      </c>
      <c r="O41" s="62" t="s">
        <v>178</v>
      </c>
      <c r="P41" s="62" t="s">
        <v>461</v>
      </c>
      <c r="Q41" s="62" t="s">
        <v>178</v>
      </c>
      <c r="R41" s="49"/>
      <c r="S41" s="49"/>
      <c r="T41" s="49"/>
    </row>
    <row r="42" spans="1:20" ht="12" customHeight="1" x14ac:dyDescent="0.2">
      <c r="A42" s="62">
        <v>552607</v>
      </c>
      <c r="B42" s="62" t="s">
        <v>50</v>
      </c>
      <c r="C42" s="48"/>
      <c r="D42" s="48"/>
      <c r="E42" s="48"/>
      <c r="F42" s="48"/>
      <c r="G42" s="56">
        <f>VLOOKUP(A42,Senha!$A$2:$G$148,7,FALSE)</f>
        <v>1983</v>
      </c>
      <c r="H42" s="45" t="s">
        <v>123</v>
      </c>
      <c r="I42" s="62">
        <v>35</v>
      </c>
      <c r="J42" s="62" t="s">
        <v>154</v>
      </c>
      <c r="K42" s="62" t="s">
        <v>178</v>
      </c>
      <c r="L42" s="48"/>
      <c r="M42" s="62" t="s">
        <v>272</v>
      </c>
      <c r="N42" s="62" t="s">
        <v>326</v>
      </c>
      <c r="O42" s="62" t="s">
        <v>401</v>
      </c>
      <c r="P42" s="62" t="s">
        <v>178</v>
      </c>
      <c r="Q42" s="62" t="s">
        <v>499</v>
      </c>
      <c r="R42" s="49"/>
      <c r="S42" s="49"/>
      <c r="T42" s="49"/>
    </row>
    <row r="43" spans="1:20" ht="12" customHeight="1" x14ac:dyDescent="0.2">
      <c r="A43" s="62">
        <v>638455</v>
      </c>
      <c r="B43" s="62" t="s">
        <v>51</v>
      </c>
      <c r="C43" s="48"/>
      <c r="D43" s="48"/>
      <c r="E43" s="48"/>
      <c r="F43" s="48"/>
      <c r="G43" s="56">
        <f>VLOOKUP(A43,Senha!$A$2:$G$148,7,FALSE)</f>
        <v>6043</v>
      </c>
      <c r="H43" s="45" t="s">
        <v>123</v>
      </c>
      <c r="I43" s="62">
        <v>44</v>
      </c>
      <c r="J43" s="62" t="s">
        <v>124</v>
      </c>
      <c r="K43" s="62" t="s">
        <v>178</v>
      </c>
      <c r="L43" s="50"/>
      <c r="M43" s="62" t="s">
        <v>273</v>
      </c>
      <c r="N43" s="62" t="s">
        <v>327</v>
      </c>
      <c r="O43" s="62" t="s">
        <v>402</v>
      </c>
      <c r="P43" s="62" t="s">
        <v>178</v>
      </c>
      <c r="Q43" s="62" t="s">
        <v>500</v>
      </c>
      <c r="R43" s="49"/>
      <c r="S43" s="49"/>
      <c r="T43" s="49"/>
    </row>
    <row r="44" spans="1:20" ht="12" customHeight="1" x14ac:dyDescent="0.2">
      <c r="A44" s="62">
        <v>669709</v>
      </c>
      <c r="B44" s="62" t="s">
        <v>168</v>
      </c>
      <c r="C44" s="48"/>
      <c r="D44" s="48"/>
      <c r="E44" s="48"/>
      <c r="F44" s="48"/>
      <c r="G44" s="56">
        <f>VLOOKUP(A44,Senha!$A$2:$G$148,7,FALSE)</f>
        <v>1234</v>
      </c>
      <c r="H44" s="45" t="s">
        <v>123</v>
      </c>
      <c r="I44" s="62">
        <v>40</v>
      </c>
      <c r="J44" s="62" t="s">
        <v>151</v>
      </c>
      <c r="K44" s="62" t="s">
        <v>240</v>
      </c>
      <c r="L44" s="48"/>
      <c r="M44" s="62" t="s">
        <v>178</v>
      </c>
      <c r="N44" s="62" t="s">
        <v>328</v>
      </c>
      <c r="O44" s="62" t="s">
        <v>403</v>
      </c>
      <c r="P44" s="62" t="s">
        <v>462</v>
      </c>
      <c r="Q44" s="62" t="s">
        <v>178</v>
      </c>
      <c r="R44" s="49"/>
      <c r="S44" s="49"/>
      <c r="T44" s="49"/>
    </row>
    <row r="45" spans="1:20" ht="12" customHeight="1" x14ac:dyDescent="0.2">
      <c r="A45" s="62">
        <v>645753</v>
      </c>
      <c r="B45" s="62" t="s">
        <v>52</v>
      </c>
      <c r="C45" s="48"/>
      <c r="D45" s="48"/>
      <c r="E45" s="48"/>
      <c r="F45" s="48"/>
      <c r="G45" s="56">
        <f>VLOOKUP(A45,Senha!$A$2:$G$148,7,FALSE)</f>
        <v>9020</v>
      </c>
      <c r="H45" s="45" t="s">
        <v>123</v>
      </c>
      <c r="I45" s="62">
        <v>40</v>
      </c>
      <c r="J45" s="62" t="s">
        <v>154</v>
      </c>
      <c r="K45" s="62" t="s">
        <v>241</v>
      </c>
      <c r="L45" s="48"/>
      <c r="M45" s="62" t="s">
        <v>178</v>
      </c>
      <c r="N45" s="62" t="s">
        <v>329</v>
      </c>
      <c r="O45" s="62" t="s">
        <v>227</v>
      </c>
      <c r="P45" s="62" t="s">
        <v>463</v>
      </c>
      <c r="Q45" s="62" t="s">
        <v>178</v>
      </c>
      <c r="R45" s="49"/>
      <c r="S45" s="49"/>
      <c r="T45" s="49"/>
    </row>
    <row r="46" spans="1:20" ht="12" customHeight="1" x14ac:dyDescent="0.2">
      <c r="A46" s="62">
        <v>85430</v>
      </c>
      <c r="B46" s="62" t="s">
        <v>53</v>
      </c>
      <c r="C46" s="48"/>
      <c r="D46" s="48"/>
      <c r="E46" s="48"/>
      <c r="F46" s="48"/>
      <c r="G46" s="56">
        <f>VLOOKUP(A46,Senha!$A$2:$G$148,7,FALSE)</f>
        <v>5233</v>
      </c>
      <c r="H46" s="45" t="s">
        <v>123</v>
      </c>
      <c r="I46" s="62">
        <v>40</v>
      </c>
      <c r="J46" s="62" t="s">
        <v>154</v>
      </c>
      <c r="K46" s="62" t="s">
        <v>178</v>
      </c>
      <c r="L46" s="48"/>
      <c r="M46" s="62" t="s">
        <v>274</v>
      </c>
      <c r="N46" s="62" t="s">
        <v>330</v>
      </c>
      <c r="O46" s="62" t="s">
        <v>404</v>
      </c>
      <c r="P46" s="62" t="s">
        <v>178</v>
      </c>
      <c r="Q46" s="62" t="s">
        <v>501</v>
      </c>
      <c r="R46" s="49"/>
      <c r="S46" s="49"/>
      <c r="T46" s="49"/>
    </row>
    <row r="47" spans="1:20" ht="12" customHeight="1" x14ac:dyDescent="0.2">
      <c r="A47" s="62">
        <v>476480</v>
      </c>
      <c r="B47" s="62" t="s">
        <v>54</v>
      </c>
      <c r="C47" s="48"/>
      <c r="D47" s="48"/>
      <c r="E47" s="48"/>
      <c r="F47" s="48"/>
      <c r="G47" s="56">
        <f>VLOOKUP(A47,Senha!$A$2:$G$148,7,FALSE)</f>
        <v>5435</v>
      </c>
      <c r="H47" s="45" t="s">
        <v>123</v>
      </c>
      <c r="I47" s="62">
        <v>40</v>
      </c>
      <c r="J47" s="62" t="s">
        <v>154</v>
      </c>
      <c r="K47" s="62" t="s">
        <v>242</v>
      </c>
      <c r="L47" s="50"/>
      <c r="M47" s="62" t="s">
        <v>178</v>
      </c>
      <c r="N47" s="62" t="s">
        <v>286</v>
      </c>
      <c r="O47" s="62" t="s">
        <v>405</v>
      </c>
      <c r="P47" s="62" t="s">
        <v>464</v>
      </c>
      <c r="Q47" s="62" t="s">
        <v>178</v>
      </c>
      <c r="R47" s="49"/>
      <c r="S47" s="49"/>
      <c r="T47" s="49"/>
    </row>
    <row r="48" spans="1:20" ht="12" customHeight="1" x14ac:dyDescent="0.2">
      <c r="A48" s="62">
        <v>660191</v>
      </c>
      <c r="B48" s="62" t="s">
        <v>126</v>
      </c>
      <c r="C48" s="48"/>
      <c r="D48" s="48"/>
      <c r="E48" s="48"/>
      <c r="F48" s="48"/>
      <c r="G48" s="56">
        <f>VLOOKUP(A48,Senha!$A$2:$G$148,7,FALSE)</f>
        <v>9078</v>
      </c>
      <c r="H48" s="45" t="s">
        <v>123</v>
      </c>
      <c r="I48" s="62">
        <v>40</v>
      </c>
      <c r="J48" s="62" t="s">
        <v>124</v>
      </c>
      <c r="K48" s="62" t="s">
        <v>178</v>
      </c>
      <c r="L48" s="48"/>
      <c r="M48" s="62" t="s">
        <v>275</v>
      </c>
      <c r="N48" s="62" t="s">
        <v>331</v>
      </c>
      <c r="O48" s="62" t="s">
        <v>406</v>
      </c>
      <c r="P48" s="62" t="s">
        <v>465</v>
      </c>
      <c r="Q48" s="62" t="s">
        <v>178</v>
      </c>
      <c r="R48" s="49"/>
      <c r="S48" s="49"/>
      <c r="T48" s="49"/>
    </row>
    <row r="49" spans="1:20" ht="12" customHeight="1" x14ac:dyDescent="0.2">
      <c r="A49" s="62">
        <v>669652</v>
      </c>
      <c r="B49" s="62" t="s">
        <v>122</v>
      </c>
      <c r="C49" s="48"/>
      <c r="D49" s="48"/>
      <c r="E49" s="48"/>
      <c r="F49" s="48"/>
      <c r="G49" s="56">
        <f>VLOOKUP(A49,Senha!$A$2:$G$148,7,FALSE)</f>
        <v>3890</v>
      </c>
      <c r="H49" s="45" t="s">
        <v>123</v>
      </c>
      <c r="I49" s="62">
        <v>40</v>
      </c>
      <c r="J49" s="62" t="s">
        <v>152</v>
      </c>
      <c r="K49" s="62" t="s">
        <v>243</v>
      </c>
      <c r="L49" s="50"/>
      <c r="M49" s="62" t="s">
        <v>178</v>
      </c>
      <c r="N49" s="62" t="s">
        <v>332</v>
      </c>
      <c r="O49" s="62" t="s">
        <v>407</v>
      </c>
      <c r="P49" s="62" t="s">
        <v>466</v>
      </c>
      <c r="Q49" s="62" t="s">
        <v>178</v>
      </c>
      <c r="R49" s="49"/>
      <c r="S49" s="49"/>
      <c r="T49" s="49"/>
    </row>
    <row r="50" spans="1:20" ht="12" customHeight="1" x14ac:dyDescent="0.2">
      <c r="A50" s="62">
        <v>645761</v>
      </c>
      <c r="B50" s="62" t="s">
        <v>149</v>
      </c>
      <c r="C50" s="48"/>
      <c r="D50" s="48"/>
      <c r="E50" s="48"/>
      <c r="F50" s="48"/>
      <c r="G50" s="56">
        <f>VLOOKUP(A50,Senha!$A$2:$G$148,7,FALSE)</f>
        <v>9022</v>
      </c>
      <c r="H50" s="45" t="s">
        <v>123</v>
      </c>
      <c r="I50" s="62">
        <v>30</v>
      </c>
      <c r="J50" s="62" t="s">
        <v>154</v>
      </c>
      <c r="K50" s="62" t="s">
        <v>178</v>
      </c>
      <c r="L50" s="50"/>
      <c r="M50" s="62" t="s">
        <v>276</v>
      </c>
      <c r="N50" s="62" t="s">
        <v>333</v>
      </c>
      <c r="O50" s="62" t="s">
        <v>408</v>
      </c>
      <c r="P50" s="62" t="s">
        <v>178</v>
      </c>
      <c r="Q50" s="62" t="s">
        <v>491</v>
      </c>
      <c r="R50" s="49"/>
      <c r="S50" s="49"/>
      <c r="T50" s="49"/>
    </row>
    <row r="51" spans="1:20" ht="12" customHeight="1" x14ac:dyDescent="0.2">
      <c r="A51" s="62">
        <v>544345</v>
      </c>
      <c r="B51" s="62" t="s">
        <v>57</v>
      </c>
      <c r="C51" s="48"/>
      <c r="D51" s="48"/>
      <c r="E51" s="48"/>
      <c r="F51" s="48"/>
      <c r="G51" s="56">
        <f>VLOOKUP(A51,Senha!$A$2:$G$148,7,FALSE)</f>
        <v>9026</v>
      </c>
      <c r="H51" s="45" t="s">
        <v>123</v>
      </c>
      <c r="I51" s="62">
        <v>44</v>
      </c>
      <c r="J51" s="62" t="s">
        <v>124</v>
      </c>
      <c r="K51" s="62" t="s">
        <v>178</v>
      </c>
      <c r="L51" s="48"/>
      <c r="M51" s="62" t="s">
        <v>277</v>
      </c>
      <c r="N51" s="62" t="s">
        <v>187</v>
      </c>
      <c r="O51" s="62" t="s">
        <v>409</v>
      </c>
      <c r="P51" s="62" t="s">
        <v>467</v>
      </c>
      <c r="Q51" s="62" t="s">
        <v>178</v>
      </c>
      <c r="R51" s="49"/>
      <c r="S51" s="49"/>
      <c r="T51" s="49"/>
    </row>
    <row r="52" spans="1:20" ht="12" customHeight="1" x14ac:dyDescent="0.2">
      <c r="A52" s="62">
        <v>659274</v>
      </c>
      <c r="B52" s="62" t="s">
        <v>58</v>
      </c>
      <c r="C52" s="48"/>
      <c r="D52" s="48"/>
      <c r="E52" s="48"/>
      <c r="F52" s="48"/>
      <c r="G52" s="56">
        <f>VLOOKUP(A52,Senha!$A$2:$G$148,7,FALSE)</f>
        <v>9028</v>
      </c>
      <c r="H52" s="45" t="s">
        <v>123</v>
      </c>
      <c r="I52" s="62">
        <v>40</v>
      </c>
      <c r="J52" s="62" t="s">
        <v>151</v>
      </c>
      <c r="K52" s="62" t="s">
        <v>178</v>
      </c>
      <c r="L52" s="48"/>
      <c r="M52" s="62" t="s">
        <v>278</v>
      </c>
      <c r="N52" s="62" t="s">
        <v>334</v>
      </c>
      <c r="O52" s="62" t="s">
        <v>410</v>
      </c>
      <c r="P52" s="62" t="s">
        <v>468</v>
      </c>
      <c r="Q52" s="62" t="s">
        <v>178</v>
      </c>
      <c r="R52" s="49"/>
      <c r="S52" s="49"/>
      <c r="T52" s="49"/>
    </row>
    <row r="53" spans="1:20" ht="12" customHeight="1" x14ac:dyDescent="0.2">
      <c r="A53" s="62">
        <v>730564</v>
      </c>
      <c r="B53" s="62" t="s">
        <v>169</v>
      </c>
      <c r="C53" s="48"/>
      <c r="D53" s="48"/>
      <c r="E53" s="48"/>
      <c r="F53" s="48"/>
      <c r="G53" s="56">
        <f>VLOOKUP(A53,Senha!$A$2:$G$148,7,FALSE)</f>
        <v>7305</v>
      </c>
      <c r="H53" s="45" t="s">
        <v>123</v>
      </c>
      <c r="I53" s="62">
        <v>12</v>
      </c>
      <c r="J53" s="62" t="s">
        <v>151</v>
      </c>
      <c r="K53" s="62" t="s">
        <v>244</v>
      </c>
      <c r="L53" s="48"/>
      <c r="M53" s="62" t="s">
        <v>178</v>
      </c>
      <c r="N53" s="62" t="s">
        <v>335</v>
      </c>
      <c r="O53" s="62" t="s">
        <v>411</v>
      </c>
      <c r="P53" s="62" t="s">
        <v>469</v>
      </c>
      <c r="Q53" s="62" t="s">
        <v>178</v>
      </c>
      <c r="R53" s="49"/>
      <c r="S53" s="49"/>
      <c r="T53" s="49"/>
    </row>
    <row r="54" spans="1:20" ht="12" customHeight="1" x14ac:dyDescent="0.2">
      <c r="A54" s="62">
        <v>452688</v>
      </c>
      <c r="B54" s="62" t="s">
        <v>62</v>
      </c>
      <c r="C54" s="48"/>
      <c r="D54" s="48"/>
      <c r="E54" s="48"/>
      <c r="F54" s="48"/>
      <c r="G54" s="56">
        <f>VLOOKUP(A54,Senha!$A$2:$G$148,7,FALSE)</f>
        <v>5638</v>
      </c>
      <c r="H54" s="45" t="s">
        <v>123</v>
      </c>
      <c r="I54" s="62">
        <v>30</v>
      </c>
      <c r="J54" s="62" t="s">
        <v>124</v>
      </c>
      <c r="K54" s="62" t="s">
        <v>245</v>
      </c>
      <c r="L54" s="50"/>
      <c r="M54" s="62" t="s">
        <v>178</v>
      </c>
      <c r="N54" s="62" t="s">
        <v>336</v>
      </c>
      <c r="O54" s="62" t="s">
        <v>220</v>
      </c>
      <c r="P54" s="62" t="s">
        <v>470</v>
      </c>
      <c r="Q54" s="62" t="s">
        <v>178</v>
      </c>
      <c r="R54" s="49"/>
      <c r="S54" s="49"/>
      <c r="T54" s="49"/>
    </row>
    <row r="55" spans="1:20" ht="12" customHeight="1" x14ac:dyDescent="0.2">
      <c r="A55" s="62">
        <v>557480</v>
      </c>
      <c r="B55" s="62" t="s">
        <v>63</v>
      </c>
      <c r="C55" s="48"/>
      <c r="D55" s="48"/>
      <c r="E55" s="48"/>
      <c r="F55" s="48"/>
      <c r="G55" s="56">
        <f>VLOOKUP(A55,Senha!$A$2:$G$148,7,FALSE)</f>
        <v>7657</v>
      </c>
      <c r="H55" s="45" t="s">
        <v>123</v>
      </c>
      <c r="I55" s="62">
        <v>30</v>
      </c>
      <c r="J55" s="62" t="s">
        <v>124</v>
      </c>
      <c r="K55" s="62" t="s">
        <v>246</v>
      </c>
      <c r="L55" s="50"/>
      <c r="M55" s="62" t="s">
        <v>178</v>
      </c>
      <c r="N55" s="62" t="s">
        <v>337</v>
      </c>
      <c r="O55" s="62" t="s">
        <v>412</v>
      </c>
      <c r="P55" s="62" t="s">
        <v>471</v>
      </c>
      <c r="Q55" s="62" t="s">
        <v>178</v>
      </c>
      <c r="R55" s="49"/>
      <c r="S55" s="49"/>
      <c r="T55" s="49"/>
    </row>
    <row r="56" spans="1:20" ht="12" customHeight="1" x14ac:dyDescent="0.2">
      <c r="A56" s="62">
        <v>552895</v>
      </c>
      <c r="B56" s="62" t="s">
        <v>64</v>
      </c>
      <c r="C56" s="48"/>
      <c r="D56" s="48"/>
      <c r="E56" s="48"/>
      <c r="F56" s="48"/>
      <c r="G56" s="56">
        <f>VLOOKUP(A56,Senha!$A$2:$G$148,7,FALSE)</f>
        <v>9035</v>
      </c>
      <c r="H56" s="45" t="s">
        <v>123</v>
      </c>
      <c r="I56" s="62">
        <v>30</v>
      </c>
      <c r="J56" s="62" t="s">
        <v>124</v>
      </c>
      <c r="K56" s="62" t="s">
        <v>247</v>
      </c>
      <c r="L56" s="48"/>
      <c r="M56" s="62" t="s">
        <v>178</v>
      </c>
      <c r="N56" s="62" t="s">
        <v>338</v>
      </c>
      <c r="O56" s="62" t="s">
        <v>265</v>
      </c>
      <c r="P56" s="62" t="s">
        <v>472</v>
      </c>
      <c r="Q56" s="62" t="s">
        <v>178</v>
      </c>
      <c r="R56" s="49"/>
      <c r="S56" s="49"/>
      <c r="T56" s="49"/>
    </row>
    <row r="57" spans="1:20" ht="12" customHeight="1" x14ac:dyDescent="0.2">
      <c r="A57" s="62">
        <v>705683</v>
      </c>
      <c r="B57" s="62" t="s">
        <v>170</v>
      </c>
      <c r="C57" s="48"/>
      <c r="D57" s="48"/>
      <c r="E57" s="48"/>
      <c r="F57" s="48"/>
      <c r="G57" s="56">
        <f>VLOOKUP(A57,Senha!$A$2:$G$148,7,FALSE)</f>
        <v>7056</v>
      </c>
      <c r="H57" s="45" t="s">
        <v>123</v>
      </c>
      <c r="I57" s="62">
        <v>30</v>
      </c>
      <c r="J57" s="62" t="s">
        <v>124</v>
      </c>
      <c r="K57" s="62" t="s">
        <v>248</v>
      </c>
      <c r="L57" s="48"/>
      <c r="M57" s="62" t="s">
        <v>178</v>
      </c>
      <c r="N57" s="62" t="s">
        <v>339</v>
      </c>
      <c r="O57" s="62" t="s">
        <v>413</v>
      </c>
      <c r="P57" s="62" t="s">
        <v>189</v>
      </c>
      <c r="Q57" s="62" t="s">
        <v>178</v>
      </c>
      <c r="R57" s="49"/>
      <c r="S57" s="49"/>
      <c r="T57" s="49"/>
    </row>
    <row r="58" spans="1:20" ht="12" customHeight="1" x14ac:dyDescent="0.2">
      <c r="A58" s="62">
        <v>698814</v>
      </c>
      <c r="B58" s="62" t="s">
        <v>162</v>
      </c>
      <c r="C58" s="48"/>
      <c r="D58" s="48"/>
      <c r="E58" s="48"/>
      <c r="F58" s="48"/>
      <c r="G58" s="56">
        <f>VLOOKUP(A58,Senha!$A$2:$G$148,7,FALSE)</f>
        <v>6988</v>
      </c>
      <c r="H58" s="45" t="s">
        <v>123</v>
      </c>
      <c r="I58" s="62">
        <v>36</v>
      </c>
      <c r="J58" s="62" t="s">
        <v>154</v>
      </c>
      <c r="K58" s="62" t="s">
        <v>200</v>
      </c>
      <c r="L58" s="50"/>
      <c r="M58" s="62" t="s">
        <v>178</v>
      </c>
      <c r="N58" s="62" t="s">
        <v>340</v>
      </c>
      <c r="O58" s="62" t="s">
        <v>414</v>
      </c>
      <c r="P58" s="62" t="s">
        <v>473</v>
      </c>
      <c r="Q58" s="62" t="s">
        <v>178</v>
      </c>
      <c r="R58" s="49"/>
      <c r="S58" s="49"/>
      <c r="T58" s="49"/>
    </row>
    <row r="59" spans="1:20" ht="12" customHeight="1" x14ac:dyDescent="0.2">
      <c r="A59" s="62">
        <v>520810</v>
      </c>
      <c r="B59" s="62" t="s">
        <v>66</v>
      </c>
      <c r="C59" s="48"/>
      <c r="D59" s="48"/>
      <c r="E59" s="48"/>
      <c r="F59" s="48"/>
      <c r="G59" s="56">
        <f>VLOOKUP(A59,Senha!$A$2:$G$148,7,FALSE)</f>
        <v>5841</v>
      </c>
      <c r="H59" s="45" t="s">
        <v>123</v>
      </c>
      <c r="I59" s="62">
        <v>40</v>
      </c>
      <c r="J59" s="62" t="s">
        <v>154</v>
      </c>
      <c r="K59" s="62" t="s">
        <v>249</v>
      </c>
      <c r="L59" s="50"/>
      <c r="M59" s="62" t="s">
        <v>178</v>
      </c>
      <c r="N59" s="62" t="s">
        <v>341</v>
      </c>
      <c r="O59" s="62" t="s">
        <v>415</v>
      </c>
      <c r="P59" s="62" t="s">
        <v>474</v>
      </c>
      <c r="Q59" s="62" t="s">
        <v>178</v>
      </c>
      <c r="R59" s="49"/>
      <c r="S59" s="49"/>
      <c r="T59" s="49"/>
    </row>
    <row r="60" spans="1:20" ht="12" customHeight="1" x14ac:dyDescent="0.2">
      <c r="A60" s="62">
        <v>110272</v>
      </c>
      <c r="B60" s="62" t="s">
        <v>67</v>
      </c>
      <c r="C60" s="48"/>
      <c r="D60" s="48"/>
      <c r="E60" s="48"/>
      <c r="F60" s="48"/>
      <c r="G60" s="56">
        <f>VLOOKUP(A60,Senha!$A$2:$G$148,7,FALSE)</f>
        <v>8061</v>
      </c>
      <c r="H60" s="45" t="s">
        <v>123</v>
      </c>
      <c r="I60" s="62">
        <v>40</v>
      </c>
      <c r="J60" s="62" t="s">
        <v>153</v>
      </c>
      <c r="K60" s="62" t="s">
        <v>178</v>
      </c>
      <c r="L60" s="48"/>
      <c r="M60" s="62" t="s">
        <v>279</v>
      </c>
      <c r="N60" s="62" t="s">
        <v>342</v>
      </c>
      <c r="O60" s="62" t="s">
        <v>416</v>
      </c>
      <c r="P60" s="62" t="s">
        <v>178</v>
      </c>
      <c r="Q60" s="62" t="s">
        <v>502</v>
      </c>
      <c r="R60" s="49"/>
      <c r="S60" s="49"/>
      <c r="T60" s="49"/>
    </row>
    <row r="61" spans="1:20" ht="12" customHeight="1" x14ac:dyDescent="0.2">
      <c r="A61" s="62">
        <v>726761</v>
      </c>
      <c r="B61" s="62" t="s">
        <v>171</v>
      </c>
      <c r="C61" s="48"/>
      <c r="D61" s="48"/>
      <c r="E61" s="48"/>
      <c r="F61" s="48"/>
      <c r="G61" s="56">
        <f>VLOOKUP(A61,Senha!$A$2:$G$148,7,FALSE)</f>
        <v>7267</v>
      </c>
      <c r="H61" s="45" t="s">
        <v>123</v>
      </c>
      <c r="I61" s="62">
        <v>20</v>
      </c>
      <c r="J61" s="62" t="s">
        <v>153</v>
      </c>
      <c r="K61" s="62" t="s">
        <v>178</v>
      </c>
      <c r="L61" s="48"/>
      <c r="M61" s="62" t="s">
        <v>280</v>
      </c>
      <c r="N61" s="62" t="s">
        <v>343</v>
      </c>
      <c r="O61" s="62" t="s">
        <v>417</v>
      </c>
      <c r="P61" s="62" t="s">
        <v>178</v>
      </c>
      <c r="Q61" s="62" t="s">
        <v>503</v>
      </c>
      <c r="R61" s="49"/>
      <c r="S61" s="49"/>
      <c r="T61" s="49"/>
    </row>
    <row r="62" spans="1:20" ht="12" customHeight="1" x14ac:dyDescent="0.2">
      <c r="A62" s="62">
        <v>605182</v>
      </c>
      <c r="B62" s="62" t="s">
        <v>69</v>
      </c>
      <c r="C62" s="48"/>
      <c r="D62" s="48"/>
      <c r="E62" s="48"/>
      <c r="F62" s="48"/>
      <c r="G62" s="56">
        <f>VLOOKUP(A62,Senha!$A$2:$G$148,7,FALSE)</f>
        <v>9040</v>
      </c>
      <c r="H62" s="45" t="s">
        <v>123</v>
      </c>
      <c r="I62" s="62">
        <v>40</v>
      </c>
      <c r="J62" s="62" t="s">
        <v>124</v>
      </c>
      <c r="K62" s="62" t="s">
        <v>178</v>
      </c>
      <c r="L62" s="50"/>
      <c r="M62" s="62" t="s">
        <v>281</v>
      </c>
      <c r="N62" s="62" t="s">
        <v>344</v>
      </c>
      <c r="O62" s="62" t="s">
        <v>418</v>
      </c>
      <c r="P62" s="62" t="s">
        <v>475</v>
      </c>
      <c r="Q62" s="62" t="s">
        <v>178</v>
      </c>
      <c r="R62" s="49"/>
      <c r="S62" s="49"/>
      <c r="T62" s="49"/>
    </row>
    <row r="63" spans="1:20" ht="12" customHeight="1" x14ac:dyDescent="0.2">
      <c r="A63" s="62">
        <v>576751</v>
      </c>
      <c r="B63" s="62" t="s">
        <v>70</v>
      </c>
      <c r="C63" s="48"/>
      <c r="D63" s="48"/>
      <c r="E63" s="48"/>
      <c r="F63" s="48"/>
      <c r="G63" s="56">
        <f>VLOOKUP(A63,Senha!$A$2:$G$148,7,FALSE)</f>
        <v>4515</v>
      </c>
      <c r="H63" s="45" t="s">
        <v>123</v>
      </c>
      <c r="I63" s="62">
        <v>40</v>
      </c>
      <c r="J63" s="62" t="s">
        <v>152</v>
      </c>
      <c r="K63" s="62" t="s">
        <v>250</v>
      </c>
      <c r="L63" s="50"/>
      <c r="M63" s="62" t="s">
        <v>178</v>
      </c>
      <c r="N63" s="62" t="s">
        <v>345</v>
      </c>
      <c r="O63" s="62" t="s">
        <v>419</v>
      </c>
      <c r="P63" s="62" t="s">
        <v>476</v>
      </c>
      <c r="Q63" s="62" t="s">
        <v>178</v>
      </c>
      <c r="R63" s="49"/>
      <c r="S63" s="49"/>
      <c r="T63" s="49"/>
    </row>
    <row r="64" spans="1:20" ht="12" customHeight="1" x14ac:dyDescent="0.2">
      <c r="A64" s="62">
        <v>344796</v>
      </c>
      <c r="B64" s="62" t="s">
        <v>71</v>
      </c>
      <c r="C64" s="48"/>
      <c r="D64" s="48"/>
      <c r="E64" s="48"/>
      <c r="F64" s="48"/>
      <c r="G64" s="56">
        <f>VLOOKUP(A64,Senha!$A$2:$G$148,7,FALSE)</f>
        <v>6344</v>
      </c>
      <c r="H64" s="45" t="s">
        <v>123</v>
      </c>
      <c r="I64" s="62">
        <v>40</v>
      </c>
      <c r="J64" s="62" t="s">
        <v>154</v>
      </c>
      <c r="K64" s="62" t="s">
        <v>178</v>
      </c>
      <c r="L64" s="50"/>
      <c r="M64" s="62" t="s">
        <v>282</v>
      </c>
      <c r="N64" s="62" t="s">
        <v>346</v>
      </c>
      <c r="O64" s="62" t="s">
        <v>420</v>
      </c>
      <c r="P64" s="62" t="s">
        <v>178</v>
      </c>
      <c r="Q64" s="62" t="s">
        <v>504</v>
      </c>
      <c r="R64" s="49"/>
      <c r="S64" s="49"/>
      <c r="T64" s="49"/>
    </row>
    <row r="65" spans="1:20" ht="12" customHeight="1" x14ac:dyDescent="0.2">
      <c r="A65" s="62">
        <v>68926</v>
      </c>
      <c r="B65" s="62" t="s">
        <v>72</v>
      </c>
      <c r="C65" s="48"/>
      <c r="D65" s="48"/>
      <c r="E65" s="48"/>
      <c r="F65" s="48"/>
      <c r="G65" s="56">
        <f>VLOOKUP(A65,Senha!$A$2:$G$148,7,FALSE)</f>
        <v>1124</v>
      </c>
      <c r="H65" s="45" t="s">
        <v>123</v>
      </c>
      <c r="I65" s="62">
        <v>40</v>
      </c>
      <c r="J65" s="62" t="s">
        <v>124</v>
      </c>
      <c r="K65" s="62" t="s">
        <v>251</v>
      </c>
      <c r="L65" s="48"/>
      <c r="M65" s="62" t="s">
        <v>178</v>
      </c>
      <c r="N65" s="62" t="s">
        <v>347</v>
      </c>
      <c r="O65" s="62" t="s">
        <v>421</v>
      </c>
      <c r="P65" s="62" t="s">
        <v>477</v>
      </c>
      <c r="Q65" s="62" t="s">
        <v>178</v>
      </c>
      <c r="R65" s="49"/>
      <c r="S65" s="49"/>
      <c r="T65" s="49"/>
    </row>
    <row r="66" spans="1:20" ht="12" customHeight="1" x14ac:dyDescent="0.2">
      <c r="A66" s="62">
        <v>698890</v>
      </c>
      <c r="B66" s="62" t="s">
        <v>163</v>
      </c>
      <c r="C66" s="48"/>
      <c r="D66" s="48"/>
      <c r="E66" s="48"/>
      <c r="F66" s="48"/>
      <c r="G66" s="56">
        <f>VLOOKUP(A66,Senha!$A$2:$G$148,7,FALSE)</f>
        <v>0</v>
      </c>
      <c r="H66" s="45" t="s">
        <v>123</v>
      </c>
      <c r="I66" s="62">
        <v>44</v>
      </c>
      <c r="J66" s="62" t="s">
        <v>152</v>
      </c>
      <c r="K66" s="62" t="s">
        <v>178</v>
      </c>
      <c r="L66" s="48"/>
      <c r="M66" s="62" t="s">
        <v>283</v>
      </c>
      <c r="N66" s="62" t="s">
        <v>348</v>
      </c>
      <c r="O66" s="62" t="s">
        <v>422</v>
      </c>
      <c r="P66" s="62" t="s">
        <v>478</v>
      </c>
      <c r="Q66" s="62" t="s">
        <v>178</v>
      </c>
      <c r="R66" s="49"/>
      <c r="S66" s="49"/>
      <c r="T66" s="49"/>
    </row>
    <row r="67" spans="1:20" ht="12" customHeight="1" x14ac:dyDescent="0.2">
      <c r="A67" s="62">
        <v>738913</v>
      </c>
      <c r="B67" s="62" t="s">
        <v>185</v>
      </c>
      <c r="C67" s="48"/>
      <c r="D67" s="48"/>
      <c r="E67" s="48"/>
      <c r="F67" s="48"/>
      <c r="G67" s="56">
        <f>VLOOKUP(A67,Senha!$A$2:$G$148,7,FALSE)</f>
        <v>7389</v>
      </c>
      <c r="H67" s="45" t="s">
        <v>123</v>
      </c>
      <c r="I67" s="62">
        <v>24</v>
      </c>
      <c r="J67" s="62" t="s">
        <v>151</v>
      </c>
      <c r="K67" s="62" t="s">
        <v>252</v>
      </c>
      <c r="L67" s="50"/>
      <c r="M67" s="62" t="s">
        <v>178</v>
      </c>
      <c r="N67" s="62" t="s">
        <v>349</v>
      </c>
      <c r="O67" s="62" t="s">
        <v>423</v>
      </c>
      <c r="P67" s="62" t="s">
        <v>479</v>
      </c>
      <c r="Q67" s="62" t="s">
        <v>178</v>
      </c>
      <c r="R67" s="49"/>
      <c r="S67" s="49"/>
      <c r="T67" s="49"/>
    </row>
    <row r="68" spans="1:20" ht="12" customHeight="1" x14ac:dyDescent="0.2">
      <c r="A68" s="62">
        <v>75175</v>
      </c>
      <c r="B68" s="62" t="s">
        <v>75</v>
      </c>
      <c r="C68" s="48"/>
      <c r="D68" s="48"/>
      <c r="E68" s="48"/>
      <c r="F68" s="48"/>
      <c r="G68" s="56">
        <f>VLOOKUP(A68,Senha!$A$2:$G$148,7,FALSE)</f>
        <v>6546</v>
      </c>
      <c r="H68" s="45" t="s">
        <v>123</v>
      </c>
      <c r="I68" s="62">
        <v>40</v>
      </c>
      <c r="J68" s="62" t="s">
        <v>124</v>
      </c>
      <c r="K68" s="62" t="s">
        <v>215</v>
      </c>
      <c r="L68" s="50"/>
      <c r="M68" s="62" t="s">
        <v>178</v>
      </c>
      <c r="N68" s="62" t="s">
        <v>350</v>
      </c>
      <c r="O68" s="62" t="s">
        <v>424</v>
      </c>
      <c r="P68" s="62" t="s">
        <v>480</v>
      </c>
      <c r="Q68" s="62" t="s">
        <v>178</v>
      </c>
      <c r="R68" s="49"/>
      <c r="S68" s="49"/>
      <c r="T68" s="49"/>
    </row>
    <row r="69" spans="1:20" ht="12" customHeight="1" x14ac:dyDescent="0.2">
      <c r="A69" s="62">
        <v>691950</v>
      </c>
      <c r="B69" s="62" t="s">
        <v>157</v>
      </c>
      <c r="C69" s="48"/>
      <c r="D69" s="48"/>
      <c r="E69" s="48"/>
      <c r="F69" s="48"/>
      <c r="G69" s="56">
        <f>VLOOKUP(A69,Senha!$A$2:$G$148,7,FALSE)</f>
        <v>5942</v>
      </c>
      <c r="H69" s="45" t="s">
        <v>123</v>
      </c>
      <c r="I69" s="62">
        <v>35</v>
      </c>
      <c r="J69" s="62" t="s">
        <v>154</v>
      </c>
      <c r="K69" s="62" t="s">
        <v>178</v>
      </c>
      <c r="L69" s="50"/>
      <c r="M69" s="62" t="s">
        <v>284</v>
      </c>
      <c r="N69" s="62" t="s">
        <v>351</v>
      </c>
      <c r="O69" s="62" t="s">
        <v>425</v>
      </c>
      <c r="P69" s="62" t="s">
        <v>178</v>
      </c>
      <c r="Q69" s="62" t="s">
        <v>505</v>
      </c>
      <c r="R69" s="49"/>
      <c r="S69" s="49"/>
      <c r="T69" s="49"/>
    </row>
    <row r="70" spans="1:20" ht="12" customHeight="1" x14ac:dyDescent="0.2">
      <c r="A70" s="62">
        <v>470678</v>
      </c>
      <c r="B70" s="62" t="s">
        <v>213</v>
      </c>
      <c r="C70" s="48"/>
      <c r="D70" s="48"/>
      <c r="E70" s="48"/>
      <c r="F70" s="48"/>
      <c r="G70" s="56">
        <f>VLOOKUP(A70,Senha!$A$2:$G$148,7,FALSE)</f>
        <v>6647</v>
      </c>
      <c r="H70" s="45" t="s">
        <v>123</v>
      </c>
      <c r="I70" s="62">
        <v>30</v>
      </c>
      <c r="J70" s="62" t="s">
        <v>124</v>
      </c>
      <c r="K70" s="62" t="s">
        <v>195</v>
      </c>
      <c r="L70" s="50"/>
      <c r="M70" s="62" t="s">
        <v>178</v>
      </c>
      <c r="N70" s="62" t="s">
        <v>352</v>
      </c>
      <c r="O70" s="62" t="s">
        <v>426</v>
      </c>
      <c r="P70" s="62" t="s">
        <v>481</v>
      </c>
      <c r="Q70" s="62" t="s">
        <v>178</v>
      </c>
      <c r="R70" s="49"/>
      <c r="S70" s="49"/>
      <c r="T70" s="49"/>
    </row>
    <row r="71" spans="1:20" ht="12" customHeight="1" x14ac:dyDescent="0.2">
      <c r="A71" s="62">
        <v>745542</v>
      </c>
      <c r="B71" s="62" t="s">
        <v>192</v>
      </c>
      <c r="C71" s="48"/>
      <c r="D71" s="48"/>
      <c r="E71" s="48"/>
      <c r="F71" s="48"/>
      <c r="G71" s="56">
        <f>VLOOKUP(A71,Senha!$A$2:$G$148,7,FALSE)</f>
        <v>7455</v>
      </c>
      <c r="H71" s="45" t="s">
        <v>123</v>
      </c>
      <c r="I71" s="62">
        <v>20</v>
      </c>
      <c r="J71" s="62" t="s">
        <v>124</v>
      </c>
      <c r="K71" s="62" t="s">
        <v>253</v>
      </c>
      <c r="L71" s="48"/>
      <c r="M71" s="62" t="s">
        <v>178</v>
      </c>
      <c r="N71" s="62" t="s">
        <v>344</v>
      </c>
      <c r="O71" s="62" t="s">
        <v>427</v>
      </c>
      <c r="P71" s="62" t="s">
        <v>482</v>
      </c>
      <c r="Q71" s="62" t="s">
        <v>178</v>
      </c>
      <c r="R71" s="49"/>
      <c r="S71" s="49"/>
      <c r="T71" s="49"/>
    </row>
    <row r="72" spans="1:20" ht="12" customHeight="1" x14ac:dyDescent="0.2">
      <c r="A72" s="62">
        <v>527025</v>
      </c>
      <c r="B72" s="62" t="s">
        <v>77</v>
      </c>
      <c r="C72" s="48"/>
      <c r="D72" s="48"/>
      <c r="E72" s="48"/>
      <c r="F72" s="48"/>
      <c r="G72" s="56">
        <f>VLOOKUP(A72,Senha!$A$2:$G$148,7,FALSE)</f>
        <v>6849</v>
      </c>
      <c r="H72" s="61" t="s">
        <v>123</v>
      </c>
      <c r="I72" s="62">
        <v>40</v>
      </c>
      <c r="J72" s="62" t="s">
        <v>124</v>
      </c>
      <c r="K72" s="62" t="s">
        <v>178</v>
      </c>
      <c r="L72" s="48"/>
      <c r="M72" s="62" t="s">
        <v>285</v>
      </c>
      <c r="N72" s="62" t="s">
        <v>353</v>
      </c>
      <c r="O72" s="62" t="s">
        <v>261</v>
      </c>
      <c r="P72" s="62" t="s">
        <v>178</v>
      </c>
      <c r="Q72" s="62" t="s">
        <v>506</v>
      </c>
      <c r="R72" s="49"/>
      <c r="S72" s="49"/>
      <c r="T72" s="49"/>
    </row>
    <row r="73" spans="1:20" ht="12" customHeight="1" x14ac:dyDescent="0.2">
      <c r="A73" s="62">
        <v>609986</v>
      </c>
      <c r="B73" s="62" t="s">
        <v>80</v>
      </c>
      <c r="C73" s="48"/>
      <c r="D73" s="48"/>
      <c r="E73" s="48"/>
      <c r="F73" s="48"/>
      <c r="G73" s="56">
        <f>VLOOKUP(A73,Senha!$A$2:$G$148,7,FALSE)</f>
        <v>7960</v>
      </c>
      <c r="H73" s="45" t="s">
        <v>123</v>
      </c>
      <c r="I73" s="62">
        <v>30</v>
      </c>
      <c r="J73" s="62" t="s">
        <v>124</v>
      </c>
      <c r="K73" s="62" t="s">
        <v>254</v>
      </c>
      <c r="L73" s="50"/>
      <c r="M73" s="62" t="s">
        <v>178</v>
      </c>
      <c r="N73" s="62" t="s">
        <v>178</v>
      </c>
      <c r="O73" s="62" t="s">
        <v>178</v>
      </c>
      <c r="P73" s="62" t="s">
        <v>254</v>
      </c>
      <c r="Q73" s="62" t="s">
        <v>178</v>
      </c>
      <c r="R73" s="49"/>
      <c r="S73" s="49"/>
      <c r="T73" s="49"/>
    </row>
    <row r="74" spans="1:20" ht="12" customHeight="1" x14ac:dyDescent="0.2">
      <c r="A74" s="62">
        <v>691283</v>
      </c>
      <c r="B74" s="62" t="s">
        <v>156</v>
      </c>
      <c r="C74" s="48"/>
      <c r="D74" s="48"/>
      <c r="E74" s="48"/>
      <c r="F74" s="48"/>
      <c r="G74" s="56">
        <f>VLOOKUP(A74,Senha!$A$2:$G$148,7,FALSE)</f>
        <v>6912</v>
      </c>
      <c r="H74" s="45" t="s">
        <v>123</v>
      </c>
      <c r="I74" s="62">
        <v>44</v>
      </c>
      <c r="J74" s="62" t="s">
        <v>124</v>
      </c>
      <c r="K74" s="62" t="s">
        <v>178</v>
      </c>
      <c r="L74" s="50"/>
      <c r="M74" s="62" t="s">
        <v>214</v>
      </c>
      <c r="N74" s="62" t="s">
        <v>354</v>
      </c>
      <c r="O74" s="62" t="s">
        <v>428</v>
      </c>
      <c r="P74" s="62" t="s">
        <v>483</v>
      </c>
      <c r="Q74" s="62" t="s">
        <v>178</v>
      </c>
      <c r="R74" s="49"/>
      <c r="S74" s="49"/>
      <c r="T74" s="49"/>
    </row>
    <row r="75" spans="1:20" ht="12" customHeight="1" x14ac:dyDescent="0.2">
      <c r="A75" s="62">
        <v>452432</v>
      </c>
      <c r="B75" s="62" t="s">
        <v>81</v>
      </c>
      <c r="C75" s="48"/>
      <c r="D75" s="48"/>
      <c r="E75" s="48"/>
      <c r="F75" s="48"/>
      <c r="G75" s="56">
        <f>VLOOKUP(A75,Senha!$A$2:$G$148,7,FALSE)</f>
        <v>7152</v>
      </c>
      <c r="H75" s="45" t="s">
        <v>123</v>
      </c>
      <c r="I75" s="62">
        <v>40</v>
      </c>
      <c r="J75" s="62" t="s">
        <v>154</v>
      </c>
      <c r="K75" s="62" t="s">
        <v>178</v>
      </c>
      <c r="L75" s="48"/>
      <c r="M75" s="62" t="s">
        <v>286</v>
      </c>
      <c r="N75" s="62" t="s">
        <v>355</v>
      </c>
      <c r="O75" s="62" t="s">
        <v>429</v>
      </c>
      <c r="P75" s="62" t="s">
        <v>178</v>
      </c>
      <c r="Q75" s="62" t="s">
        <v>406</v>
      </c>
      <c r="R75" s="49"/>
      <c r="S75" s="49"/>
      <c r="T75" s="49"/>
    </row>
    <row r="76" spans="1:20" ht="12" customHeight="1" x14ac:dyDescent="0.2">
      <c r="A76" s="62">
        <v>708933</v>
      </c>
      <c r="B76" s="62" t="s">
        <v>172</v>
      </c>
      <c r="C76" s="48"/>
      <c r="D76" s="48"/>
      <c r="E76" s="48"/>
      <c r="F76" s="48"/>
      <c r="G76" s="56">
        <f>VLOOKUP(A76,Senha!$A$2:$G$148,7,FALSE)</f>
        <v>7089</v>
      </c>
      <c r="H76" s="45" t="s">
        <v>123</v>
      </c>
      <c r="I76" s="62">
        <v>23</v>
      </c>
      <c r="J76" s="62" t="s">
        <v>124</v>
      </c>
      <c r="K76" s="62" t="s">
        <v>178</v>
      </c>
      <c r="L76" s="48"/>
      <c r="M76" s="62" t="s">
        <v>287</v>
      </c>
      <c r="N76" s="62" t="s">
        <v>356</v>
      </c>
      <c r="O76" s="62" t="s">
        <v>430</v>
      </c>
      <c r="P76" s="62" t="s">
        <v>178</v>
      </c>
      <c r="Q76" s="62" t="s">
        <v>217</v>
      </c>
      <c r="R76" s="49"/>
      <c r="S76" s="49"/>
      <c r="T76" s="49"/>
    </row>
    <row r="77" spans="1:20" ht="12" customHeight="1" x14ac:dyDescent="0.2">
      <c r="A77" s="62">
        <v>92312</v>
      </c>
      <c r="B77" s="62" t="s">
        <v>84</v>
      </c>
      <c r="C77" s="48"/>
      <c r="D77" s="48"/>
      <c r="E77" s="48"/>
      <c r="F77" s="48"/>
      <c r="G77" s="56">
        <f>VLOOKUP(A77,Senha!$A$2:$G$148,7,FALSE)</f>
        <v>7354</v>
      </c>
      <c r="H77" s="45" t="s">
        <v>123</v>
      </c>
      <c r="I77" s="62">
        <v>40</v>
      </c>
      <c r="J77" s="62" t="s">
        <v>151</v>
      </c>
      <c r="K77" s="62" t="s">
        <v>255</v>
      </c>
      <c r="L77" s="48"/>
      <c r="M77" s="62" t="s">
        <v>178</v>
      </c>
      <c r="N77" s="62" t="s">
        <v>211</v>
      </c>
      <c r="O77" s="62" t="s">
        <v>431</v>
      </c>
      <c r="P77" s="62" t="s">
        <v>484</v>
      </c>
      <c r="Q77" s="62" t="s">
        <v>178</v>
      </c>
      <c r="R77" s="49"/>
      <c r="S77" s="49"/>
      <c r="T77" s="49"/>
    </row>
    <row r="78" spans="1:20" ht="12" customHeight="1" x14ac:dyDescent="0.2">
      <c r="A78" s="62">
        <v>84824</v>
      </c>
      <c r="B78" s="62" t="s">
        <v>186</v>
      </c>
      <c r="C78" s="48"/>
      <c r="D78" s="48"/>
      <c r="E78" s="48"/>
      <c r="F78" s="48"/>
      <c r="G78" s="56" t="e">
        <f>VLOOKUP(A78,Senha!$A$2:$G$148,7,FALSE)</f>
        <v>#N/A</v>
      </c>
      <c r="H78" s="47" t="s">
        <v>46</v>
      </c>
      <c r="I78" s="62">
        <v>40</v>
      </c>
      <c r="J78" s="62" t="s">
        <v>151</v>
      </c>
      <c r="K78" s="62" t="s">
        <v>178</v>
      </c>
      <c r="L78" s="50"/>
      <c r="M78" s="62" t="s">
        <v>178</v>
      </c>
      <c r="N78" s="62" t="s">
        <v>178</v>
      </c>
      <c r="O78" s="62" t="s">
        <v>178</v>
      </c>
      <c r="P78" s="62" t="s">
        <v>178</v>
      </c>
      <c r="Q78" s="62" t="s">
        <v>178</v>
      </c>
      <c r="R78" s="49"/>
      <c r="S78" s="49"/>
      <c r="T78" s="49"/>
    </row>
    <row r="79" spans="1:20" ht="12" customHeight="1" x14ac:dyDescent="0.2">
      <c r="A79" s="62">
        <v>237264</v>
      </c>
      <c r="B79" s="62" t="s">
        <v>88</v>
      </c>
      <c r="C79" s="48"/>
      <c r="D79" s="48"/>
      <c r="E79" s="48"/>
      <c r="F79" s="48"/>
      <c r="G79" s="56">
        <f>VLOOKUP(A79,Senha!$A$2:$G$148,7,FALSE)</f>
        <v>7758</v>
      </c>
      <c r="H79" s="47" t="s">
        <v>46</v>
      </c>
      <c r="I79" s="62">
        <v>40</v>
      </c>
      <c r="J79" s="62" t="s">
        <v>124</v>
      </c>
      <c r="K79" s="62" t="s">
        <v>178</v>
      </c>
      <c r="L79" s="48"/>
      <c r="M79" s="62" t="s">
        <v>196</v>
      </c>
      <c r="N79" s="62" t="s">
        <v>354</v>
      </c>
      <c r="O79" s="62" t="s">
        <v>432</v>
      </c>
      <c r="P79" s="62" t="s">
        <v>485</v>
      </c>
      <c r="Q79" s="62" t="s">
        <v>178</v>
      </c>
      <c r="R79" s="49"/>
      <c r="S79" s="49"/>
      <c r="T79" s="49"/>
    </row>
    <row r="80" spans="1:20" ht="12" customHeight="1" x14ac:dyDescent="0.2">
      <c r="A80" s="62">
        <v>713643</v>
      </c>
      <c r="B80" s="62" t="s">
        <v>173</v>
      </c>
      <c r="C80" s="48"/>
      <c r="D80" s="48"/>
      <c r="E80" s="48"/>
      <c r="F80" s="48"/>
      <c r="G80" s="56">
        <f>VLOOKUP(A80,Senha!$A$2:$G$148,7,FALSE)</f>
        <v>7136</v>
      </c>
      <c r="H80" s="47" t="s">
        <v>46</v>
      </c>
      <c r="I80" s="62">
        <v>24</v>
      </c>
      <c r="J80" s="62" t="s">
        <v>153</v>
      </c>
      <c r="K80" s="62" t="s">
        <v>256</v>
      </c>
      <c r="L80" s="48"/>
      <c r="M80" s="62" t="s">
        <v>178</v>
      </c>
      <c r="N80" s="62" t="s">
        <v>357</v>
      </c>
      <c r="O80" s="62" t="s">
        <v>433</v>
      </c>
      <c r="P80" s="62" t="s">
        <v>221</v>
      </c>
      <c r="Q80" s="62" t="s">
        <v>178</v>
      </c>
      <c r="R80" s="49"/>
      <c r="S80" s="49"/>
      <c r="T80" s="49"/>
    </row>
    <row r="81" spans="1:20" ht="12" customHeight="1" x14ac:dyDescent="0.2">
      <c r="A81" s="62">
        <v>544507</v>
      </c>
      <c r="B81" s="62" t="s">
        <v>89</v>
      </c>
      <c r="C81" s="48"/>
      <c r="D81" s="48"/>
      <c r="E81" s="48"/>
      <c r="F81" s="48"/>
      <c r="G81" s="56">
        <f>VLOOKUP(A81,Senha!$A$2:$G$148,7,FALSE)</f>
        <v>9051</v>
      </c>
      <c r="H81" s="47" t="s">
        <v>46</v>
      </c>
      <c r="I81" s="62">
        <v>44</v>
      </c>
      <c r="J81" s="62" t="s">
        <v>193</v>
      </c>
      <c r="K81" s="62" t="s">
        <v>178</v>
      </c>
      <c r="L81" s="48"/>
      <c r="M81" s="62" t="s">
        <v>288</v>
      </c>
      <c r="N81" s="62" t="s">
        <v>358</v>
      </c>
      <c r="O81" s="62" t="s">
        <v>434</v>
      </c>
      <c r="P81" s="62" t="s">
        <v>486</v>
      </c>
      <c r="Q81" s="62" t="s">
        <v>178</v>
      </c>
      <c r="R81" s="49"/>
      <c r="S81" s="49"/>
      <c r="T81" s="49"/>
    </row>
    <row r="82" spans="1:20" ht="12" customHeight="1" x14ac:dyDescent="0.2">
      <c r="A82" s="62">
        <v>291099</v>
      </c>
      <c r="B82" s="62" t="s">
        <v>91</v>
      </c>
      <c r="C82" s="48"/>
      <c r="D82" s="48"/>
      <c r="E82" s="48"/>
      <c r="F82" s="48"/>
      <c r="G82" s="56">
        <f>VLOOKUP(A82,Senha!$A$2:$G$148,7,FALSE)</f>
        <v>8263</v>
      </c>
      <c r="H82" s="47" t="s">
        <v>46</v>
      </c>
      <c r="I82" s="62">
        <v>40</v>
      </c>
      <c r="J82" s="62" t="s">
        <v>152</v>
      </c>
      <c r="K82" s="62" t="s">
        <v>178</v>
      </c>
      <c r="L82" s="48"/>
      <c r="M82" s="62" t="s">
        <v>289</v>
      </c>
      <c r="N82" s="62" t="s">
        <v>359</v>
      </c>
      <c r="O82" s="62" t="s">
        <v>435</v>
      </c>
      <c r="P82" s="62" t="s">
        <v>178</v>
      </c>
      <c r="Q82" s="62" t="s">
        <v>507</v>
      </c>
      <c r="R82" s="49"/>
      <c r="S82" s="49"/>
      <c r="T82" s="49"/>
    </row>
    <row r="83" spans="1:20" ht="12" customHeight="1" x14ac:dyDescent="0.2">
      <c r="A83" s="62">
        <v>544566</v>
      </c>
      <c r="B83" s="62" t="s">
        <v>92</v>
      </c>
      <c r="C83" s="48"/>
      <c r="D83" s="48"/>
      <c r="E83" s="48"/>
      <c r="F83" s="48"/>
      <c r="G83" s="56">
        <f>VLOOKUP(A83,Senha!$A$2:$G$148,7,FALSE)</f>
        <v>9055</v>
      </c>
      <c r="H83" s="47" t="s">
        <v>46</v>
      </c>
      <c r="I83" s="62">
        <v>16</v>
      </c>
      <c r="J83" s="62" t="s">
        <v>124</v>
      </c>
      <c r="K83" s="62" t="s">
        <v>257</v>
      </c>
      <c r="L83" s="48"/>
      <c r="M83" s="62" t="s">
        <v>178</v>
      </c>
      <c r="N83" s="62" t="s">
        <v>360</v>
      </c>
      <c r="O83" s="62" t="s">
        <v>436</v>
      </c>
      <c r="P83" s="62" t="s">
        <v>487</v>
      </c>
      <c r="Q83" s="62" t="s">
        <v>178</v>
      </c>
      <c r="R83" s="49"/>
      <c r="S83" s="49"/>
      <c r="T83" s="49"/>
    </row>
    <row r="84" spans="1:20" ht="12" customHeight="1" x14ac:dyDescent="0.2">
      <c r="A84" s="62">
        <v>527238</v>
      </c>
      <c r="B84" s="62" t="s">
        <v>93</v>
      </c>
      <c r="C84" s="48"/>
      <c r="D84" s="48"/>
      <c r="E84" s="48"/>
      <c r="F84" s="48"/>
      <c r="G84" s="56">
        <f>VLOOKUP(A84,Senha!$A$2:$G$148,7,FALSE)</f>
        <v>8364</v>
      </c>
      <c r="H84" s="47" t="s">
        <v>46</v>
      </c>
      <c r="I84" s="62">
        <v>30</v>
      </c>
      <c r="J84" s="62" t="s">
        <v>151</v>
      </c>
      <c r="K84" s="62" t="s">
        <v>178</v>
      </c>
      <c r="L84" s="50"/>
      <c r="M84" s="62" t="s">
        <v>290</v>
      </c>
      <c r="N84" s="62" t="s">
        <v>361</v>
      </c>
      <c r="O84" s="62" t="s">
        <v>420</v>
      </c>
      <c r="P84" s="62" t="s">
        <v>178</v>
      </c>
      <c r="Q84" s="62" t="s">
        <v>508</v>
      </c>
      <c r="R84" s="49"/>
      <c r="S84" s="49"/>
      <c r="T84" s="49"/>
    </row>
    <row r="85" spans="1:20" ht="12" customHeight="1" x14ac:dyDescent="0.2">
      <c r="A85" s="62">
        <v>410683</v>
      </c>
      <c r="B85" s="62" t="s">
        <v>94</v>
      </c>
      <c r="C85" s="48"/>
      <c r="D85" s="48"/>
      <c r="E85" s="48"/>
      <c r="F85" s="48"/>
      <c r="G85" s="56">
        <f>VLOOKUP(A85,Senha!$A$2:$G$148,7,FALSE)</f>
        <v>8465</v>
      </c>
      <c r="H85" s="47" t="s">
        <v>46</v>
      </c>
      <c r="I85" s="62">
        <v>30</v>
      </c>
      <c r="J85" s="62" t="s">
        <v>124</v>
      </c>
      <c r="K85" s="62" t="s">
        <v>258</v>
      </c>
      <c r="L85" s="50"/>
      <c r="M85" s="62" t="s">
        <v>178</v>
      </c>
      <c r="N85" s="62" t="s">
        <v>362</v>
      </c>
      <c r="O85" s="62" t="s">
        <v>437</v>
      </c>
      <c r="P85" s="62" t="s">
        <v>488</v>
      </c>
      <c r="Q85" s="62" t="s">
        <v>178</v>
      </c>
      <c r="R85" s="49"/>
      <c r="S85" s="49"/>
      <c r="T85" s="49"/>
    </row>
    <row r="86" spans="1:20" ht="12" customHeight="1" x14ac:dyDescent="0.2">
      <c r="A86" s="62">
        <v>552216</v>
      </c>
      <c r="B86" s="62" t="s">
        <v>42</v>
      </c>
      <c r="C86" s="48"/>
      <c r="D86" s="48"/>
      <c r="E86" s="48"/>
      <c r="F86" s="48"/>
      <c r="G86" s="56">
        <f>VLOOKUP(A86,Senha!$A$2:$G$148,7,FALSE)</f>
        <v>9057</v>
      </c>
      <c r="H86" s="47" t="s">
        <v>46</v>
      </c>
      <c r="I86" s="62">
        <v>30</v>
      </c>
      <c r="J86" s="62" t="s">
        <v>124</v>
      </c>
      <c r="K86" s="62" t="s">
        <v>178</v>
      </c>
      <c r="L86" s="48"/>
      <c r="M86" s="62" t="s">
        <v>202</v>
      </c>
      <c r="N86" s="62" t="s">
        <v>363</v>
      </c>
      <c r="O86" s="62" t="s">
        <v>438</v>
      </c>
      <c r="P86" s="62" t="s">
        <v>178</v>
      </c>
      <c r="Q86" s="62" t="s">
        <v>509</v>
      </c>
      <c r="R86" s="49"/>
      <c r="S86" s="49"/>
      <c r="T86" s="49"/>
    </row>
    <row r="87" spans="1:20" ht="12" customHeight="1" x14ac:dyDescent="0.2">
      <c r="A87" s="62">
        <v>407607</v>
      </c>
      <c r="B87" s="62" t="s">
        <v>98</v>
      </c>
      <c r="C87" s="48"/>
      <c r="D87" s="48"/>
      <c r="E87" s="48"/>
      <c r="F87" s="48"/>
      <c r="G87" s="56">
        <f>VLOOKUP(A87,Senha!$A$2:$G$148,7,FALSE)</f>
        <v>8566</v>
      </c>
      <c r="H87" s="47" t="s">
        <v>46</v>
      </c>
      <c r="I87" s="62">
        <v>40</v>
      </c>
      <c r="J87" s="62" t="s">
        <v>124</v>
      </c>
      <c r="K87" s="62" t="s">
        <v>178</v>
      </c>
      <c r="L87" s="48"/>
      <c r="M87" s="62" t="s">
        <v>291</v>
      </c>
      <c r="N87" s="62" t="s">
        <v>364</v>
      </c>
      <c r="O87" s="62" t="s">
        <v>439</v>
      </c>
      <c r="P87" s="62" t="s">
        <v>489</v>
      </c>
      <c r="Q87" s="62" t="s">
        <v>178</v>
      </c>
      <c r="R87" s="49"/>
      <c r="S87" s="49"/>
      <c r="T87" s="49"/>
    </row>
    <row r="88" spans="1:20" ht="12" customHeight="1" x14ac:dyDescent="0.2">
      <c r="A88" s="62">
        <v>544469</v>
      </c>
      <c r="B88" s="62" t="s">
        <v>174</v>
      </c>
      <c r="C88" s="48"/>
      <c r="D88" s="48"/>
      <c r="E88" s="48"/>
      <c r="F88" s="48"/>
      <c r="G88" s="56">
        <f>VLOOKUP(A88,Senha!$A$2:$G$148,7,FALSE)</f>
        <v>9061</v>
      </c>
      <c r="H88" s="47" t="s">
        <v>46</v>
      </c>
      <c r="I88" s="62">
        <v>44</v>
      </c>
      <c r="J88" s="62" t="s">
        <v>124</v>
      </c>
      <c r="K88" s="62" t="s">
        <v>178</v>
      </c>
      <c r="L88" s="48"/>
      <c r="M88" s="62" t="s">
        <v>292</v>
      </c>
      <c r="N88" s="62" t="s">
        <v>365</v>
      </c>
      <c r="O88" s="62" t="s">
        <v>440</v>
      </c>
      <c r="P88" s="62" t="s">
        <v>178</v>
      </c>
      <c r="Q88" s="62" t="s">
        <v>510</v>
      </c>
      <c r="R88" s="49"/>
      <c r="S88" s="49"/>
      <c r="T88" s="49"/>
    </row>
    <row r="89" spans="1:20" ht="12" customHeight="1" x14ac:dyDescent="0.2">
      <c r="A89" s="62">
        <v>712779</v>
      </c>
      <c r="B89" s="62" t="s">
        <v>175</v>
      </c>
      <c r="C89" s="48"/>
      <c r="D89" s="48"/>
      <c r="E89" s="48"/>
      <c r="F89" s="48"/>
      <c r="G89" s="56">
        <f>VLOOKUP(A89,Senha!$A$2:$G$148,7,FALSE)</f>
        <v>7127</v>
      </c>
      <c r="H89" s="47" t="s">
        <v>46</v>
      </c>
      <c r="I89" s="62">
        <v>24</v>
      </c>
      <c r="J89" s="62" t="s">
        <v>124</v>
      </c>
      <c r="K89" s="62" t="s">
        <v>259</v>
      </c>
      <c r="L89" s="48"/>
      <c r="M89" s="62" t="s">
        <v>178</v>
      </c>
      <c r="N89" s="62" t="s">
        <v>240</v>
      </c>
      <c r="O89" s="62" t="s">
        <v>373</v>
      </c>
      <c r="P89" s="62" t="s">
        <v>418</v>
      </c>
      <c r="Q89" s="62" t="s">
        <v>178</v>
      </c>
      <c r="R89" s="49"/>
      <c r="S89" s="49"/>
      <c r="T89" s="49"/>
    </row>
    <row r="90" spans="1:20" ht="12" customHeight="1" x14ac:dyDescent="0.2">
      <c r="A90" s="62">
        <v>72273</v>
      </c>
      <c r="B90" s="62" t="s">
        <v>104</v>
      </c>
      <c r="C90" s="48"/>
      <c r="D90" s="48"/>
      <c r="E90" s="48"/>
      <c r="F90" s="48"/>
      <c r="G90" s="56">
        <f>VLOOKUP(A90,Senha!$A$2:$G$148,7,FALSE)</f>
        <v>1212</v>
      </c>
      <c r="H90" s="47" t="s">
        <v>46</v>
      </c>
      <c r="I90" s="62">
        <v>44</v>
      </c>
      <c r="J90" s="62" t="s">
        <v>154</v>
      </c>
      <c r="K90" s="62" t="s">
        <v>178</v>
      </c>
      <c r="L90" s="48"/>
      <c r="M90" s="62" t="s">
        <v>293</v>
      </c>
      <c r="N90" s="62" t="s">
        <v>353</v>
      </c>
      <c r="O90" s="62" t="s">
        <v>207</v>
      </c>
      <c r="P90" s="62" t="s">
        <v>178</v>
      </c>
      <c r="Q90" s="62" t="s">
        <v>511</v>
      </c>
      <c r="R90" s="49"/>
      <c r="S90" s="49"/>
      <c r="T90" s="49"/>
    </row>
    <row r="91" spans="1:20" ht="12" customHeight="1" x14ac:dyDescent="0.2">
      <c r="A91" s="62">
        <v>691852</v>
      </c>
      <c r="B91" s="62" t="s">
        <v>158</v>
      </c>
      <c r="C91" s="48"/>
      <c r="D91" s="48"/>
      <c r="E91" s="48"/>
      <c r="F91" s="48"/>
      <c r="G91" s="56">
        <f>VLOOKUP(A91,Senha!$A$2:$G$148,7,FALSE)</f>
        <v>6918</v>
      </c>
      <c r="H91" s="47" t="s">
        <v>46</v>
      </c>
      <c r="I91" s="62">
        <v>30</v>
      </c>
      <c r="J91" s="62" t="s">
        <v>154</v>
      </c>
      <c r="K91" s="62" t="s">
        <v>260</v>
      </c>
      <c r="L91" s="50"/>
      <c r="M91" s="62" t="s">
        <v>178</v>
      </c>
      <c r="N91" s="62" t="s">
        <v>366</v>
      </c>
      <c r="O91" s="62" t="s">
        <v>441</v>
      </c>
      <c r="P91" s="62" t="s">
        <v>490</v>
      </c>
      <c r="Q91" s="62" t="s">
        <v>178</v>
      </c>
      <c r="R91" s="49"/>
      <c r="S91" s="49"/>
      <c r="T91" s="49"/>
    </row>
    <row r="92" spans="1:20" ht="12" customHeight="1" x14ac:dyDescent="0.2">
      <c r="A92" s="62">
        <v>587273</v>
      </c>
      <c r="B92" s="62" t="s">
        <v>107</v>
      </c>
      <c r="C92" s="48"/>
      <c r="D92" s="48"/>
      <c r="E92" s="48"/>
      <c r="F92" s="48"/>
      <c r="G92" s="56">
        <f>VLOOKUP(A92,Senha!$A$2:$G$148,7,FALSE)</f>
        <v>9075</v>
      </c>
      <c r="H92" s="47" t="s">
        <v>46</v>
      </c>
      <c r="I92" s="62">
        <v>12</v>
      </c>
      <c r="J92" s="62" t="s">
        <v>151</v>
      </c>
      <c r="K92" s="62" t="s">
        <v>261</v>
      </c>
      <c r="L92" s="48"/>
      <c r="M92" s="62" t="s">
        <v>178</v>
      </c>
      <c r="N92" s="62" t="s">
        <v>367</v>
      </c>
      <c r="O92" s="62" t="s">
        <v>221</v>
      </c>
      <c r="P92" s="62" t="s">
        <v>491</v>
      </c>
      <c r="Q92" s="62" t="s">
        <v>178</v>
      </c>
      <c r="R92" s="49"/>
      <c r="S92" s="49"/>
      <c r="T92" s="49"/>
    </row>
    <row r="93" spans="1:20" ht="12" customHeight="1" x14ac:dyDescent="0.2">
      <c r="A93" s="62">
        <v>245160</v>
      </c>
      <c r="B93" s="62" t="s">
        <v>298</v>
      </c>
      <c r="C93" s="48"/>
      <c r="D93" s="48"/>
      <c r="E93" s="48"/>
      <c r="F93" s="48"/>
      <c r="G93" s="56">
        <f>VLOOKUP(A93,Senha!$A$2:$G$148,7,FALSE)</f>
        <v>8970</v>
      </c>
      <c r="H93" s="47" t="s">
        <v>46</v>
      </c>
      <c r="I93" s="62">
        <v>40</v>
      </c>
      <c r="J93" s="62" t="s">
        <v>124</v>
      </c>
      <c r="K93" s="62" t="s">
        <v>178</v>
      </c>
      <c r="L93" s="48"/>
      <c r="M93" s="62" t="s">
        <v>294</v>
      </c>
      <c r="N93" s="62" t="s">
        <v>368</v>
      </c>
      <c r="O93" s="62" t="s">
        <v>442</v>
      </c>
      <c r="P93" s="62" t="s">
        <v>178</v>
      </c>
      <c r="Q93" s="62" t="s">
        <v>493</v>
      </c>
      <c r="R93" s="49"/>
      <c r="S93" s="49"/>
      <c r="T93" s="49"/>
    </row>
    <row r="94" spans="1:20" ht="12" customHeight="1" x14ac:dyDescent="0.2">
      <c r="A94" s="62">
        <v>731200</v>
      </c>
      <c r="B94" s="62" t="s">
        <v>177</v>
      </c>
      <c r="C94" s="48"/>
      <c r="D94" s="48"/>
      <c r="E94" s="48"/>
      <c r="F94" s="48"/>
      <c r="G94" s="56">
        <f>VLOOKUP(A94,Senha!$A$2:$G$148,7,FALSE)</f>
        <v>7312</v>
      </c>
      <c r="H94" s="47" t="s">
        <v>46</v>
      </c>
      <c r="I94" s="62">
        <v>24</v>
      </c>
      <c r="J94" s="62" t="s">
        <v>152</v>
      </c>
      <c r="K94" s="62" t="s">
        <v>204</v>
      </c>
      <c r="L94" s="48"/>
      <c r="M94" s="62" t="s">
        <v>178</v>
      </c>
      <c r="N94" s="62" t="s">
        <v>369</v>
      </c>
      <c r="O94" s="62" t="s">
        <v>443</v>
      </c>
      <c r="P94" s="62" t="s">
        <v>492</v>
      </c>
      <c r="Q94" s="62" t="s">
        <v>178</v>
      </c>
      <c r="R94" s="49"/>
      <c r="S94" s="49"/>
      <c r="T94" s="49"/>
    </row>
    <row r="95" spans="1:20" ht="12" customHeight="1" x14ac:dyDescent="0.2">
      <c r="A95" s="62"/>
      <c r="B95" s="62"/>
      <c r="C95" s="48"/>
      <c r="D95" s="48"/>
      <c r="E95" s="48"/>
      <c r="F95" s="48"/>
      <c r="G95" s="56" t="e">
        <f>VLOOKUP(A95,Senha!$A$2:$G$148,7,FALSE)</f>
        <v>#N/A</v>
      </c>
      <c r="H95" s="47" t="s">
        <v>46</v>
      </c>
      <c r="I95" s="62"/>
      <c r="J95" s="62" t="s">
        <v>124</v>
      </c>
      <c r="K95" s="62"/>
      <c r="L95" s="48"/>
      <c r="M95" s="62"/>
      <c r="N95" s="62"/>
      <c r="O95" s="62"/>
      <c r="P95" s="62"/>
      <c r="Q95" s="62"/>
      <c r="R95" s="49"/>
      <c r="S95" s="49"/>
      <c r="T95" s="49"/>
    </row>
    <row r="96" spans="1:20" ht="12" customHeight="1" x14ac:dyDescent="0.2">
      <c r="A96" s="62"/>
      <c r="B96" s="62"/>
      <c r="C96" s="48"/>
      <c r="D96" s="48"/>
      <c r="E96" s="48"/>
      <c r="F96" s="48"/>
      <c r="G96" s="56" t="e">
        <f>VLOOKUP(A96,Senha!$A$2:$G$148,7,FALSE)</f>
        <v>#N/A</v>
      </c>
      <c r="H96" s="47" t="s">
        <v>46</v>
      </c>
      <c r="I96" s="62"/>
      <c r="J96" s="62" t="s">
        <v>124</v>
      </c>
      <c r="K96" s="62"/>
      <c r="L96" s="50"/>
      <c r="M96" s="62"/>
      <c r="N96" s="62"/>
      <c r="O96" s="62"/>
      <c r="P96" s="62"/>
      <c r="Q96" s="62"/>
      <c r="R96" s="49"/>
      <c r="S96" s="49"/>
      <c r="T96" s="49"/>
    </row>
    <row r="97" spans="1:20" ht="12" customHeight="1" x14ac:dyDescent="0.2">
      <c r="A97" s="62"/>
      <c r="B97" s="62"/>
      <c r="C97" s="48"/>
      <c r="D97" s="48"/>
      <c r="E97" s="48"/>
      <c r="F97" s="48"/>
      <c r="G97" s="56" t="e">
        <f>VLOOKUP(A97,Senha!$A$2:$G$148,7,FALSE)</f>
        <v>#N/A</v>
      </c>
      <c r="H97" s="47" t="s">
        <v>46</v>
      </c>
      <c r="I97" s="62"/>
      <c r="J97" s="62" t="s">
        <v>124</v>
      </c>
      <c r="K97" s="62"/>
      <c r="L97" s="48"/>
      <c r="M97" s="62"/>
      <c r="N97" s="62"/>
      <c r="O97" s="62"/>
      <c r="P97" s="62"/>
      <c r="Q97" s="62"/>
      <c r="R97" s="49"/>
      <c r="S97" s="49"/>
      <c r="T97" s="49"/>
    </row>
    <row r="98" spans="1:20" ht="12" customHeight="1" x14ac:dyDescent="0.2">
      <c r="A98" s="62"/>
      <c r="B98" s="62"/>
      <c r="C98" s="48"/>
      <c r="D98" s="48"/>
      <c r="E98" s="48"/>
      <c r="F98" s="48"/>
      <c r="G98" s="56" t="e">
        <f>VLOOKUP(A98,Senha!$A$2:$G$148,7,FALSE)</f>
        <v>#N/A</v>
      </c>
      <c r="H98" s="47" t="s">
        <v>46</v>
      </c>
      <c r="I98" s="62"/>
      <c r="J98" s="62" t="s">
        <v>124</v>
      </c>
      <c r="K98" s="62"/>
      <c r="L98" s="48"/>
      <c r="M98" s="62"/>
      <c r="N98" s="62"/>
      <c r="O98" s="62"/>
      <c r="P98" s="62"/>
      <c r="Q98" s="62"/>
      <c r="R98" s="49"/>
      <c r="S98" s="49"/>
      <c r="T98" s="49"/>
    </row>
    <row r="99" spans="1:20" ht="12" customHeight="1" x14ac:dyDescent="0.2">
      <c r="A99" s="62"/>
      <c r="B99" s="62"/>
      <c r="C99" s="48"/>
      <c r="D99" s="48"/>
      <c r="E99" s="48"/>
      <c r="F99" s="48"/>
      <c r="G99" s="56" t="e">
        <f>VLOOKUP(A99,Senha!$A$2:$G$148,7,FALSE)</f>
        <v>#N/A</v>
      </c>
      <c r="H99" s="47" t="s">
        <v>46</v>
      </c>
      <c r="I99" s="62"/>
      <c r="J99" s="62"/>
      <c r="K99" s="62"/>
      <c r="L99" s="50"/>
      <c r="M99" s="62"/>
      <c r="N99" s="62"/>
      <c r="O99" s="62"/>
      <c r="P99" s="62"/>
      <c r="Q99" s="62"/>
      <c r="R99" s="49"/>
      <c r="S99" s="49"/>
      <c r="T99" s="49"/>
    </row>
    <row r="100" spans="1:20" ht="12" customHeight="1" x14ac:dyDescent="0.2">
      <c r="A100" s="62"/>
      <c r="B100" s="62"/>
      <c r="C100" s="48"/>
      <c r="D100" s="48"/>
      <c r="E100" s="48"/>
      <c r="F100" s="48"/>
      <c r="G100" s="56" t="e">
        <f>VLOOKUP(A100,Senha!$A$2:$G$148,7,FALSE)</f>
        <v>#N/A</v>
      </c>
      <c r="H100" s="47" t="s">
        <v>46</v>
      </c>
      <c r="I100" s="62"/>
      <c r="J100" s="62"/>
      <c r="K100" s="62"/>
      <c r="L100" s="48"/>
      <c r="M100" s="62"/>
      <c r="N100" s="62"/>
      <c r="O100" s="62"/>
      <c r="P100" s="62"/>
      <c r="Q100" s="62"/>
      <c r="R100" s="49"/>
      <c r="S100" s="49"/>
      <c r="T100" s="49"/>
    </row>
    <row r="101" spans="1:20" ht="12" customHeight="1" x14ac:dyDescent="0.2">
      <c r="A101" s="62"/>
      <c r="B101" s="62"/>
      <c r="C101" s="48"/>
      <c r="D101" s="48"/>
      <c r="E101" s="48"/>
      <c r="F101" s="48"/>
      <c r="G101" s="56" t="e">
        <f>VLOOKUP(A101,Senha!$A$2:$G$148,7,FALSE)</f>
        <v>#N/A</v>
      </c>
      <c r="H101" s="47" t="s">
        <v>46</v>
      </c>
      <c r="I101" s="62"/>
      <c r="J101" s="62"/>
      <c r="K101" s="62"/>
      <c r="L101" s="48"/>
      <c r="M101" s="62"/>
      <c r="N101" s="62"/>
      <c r="O101" s="62"/>
      <c r="P101" s="62"/>
      <c r="Q101" s="62"/>
      <c r="R101" s="49"/>
      <c r="S101" s="49"/>
      <c r="T101" s="49"/>
    </row>
    <row r="102" spans="1:20" ht="12" customHeight="1" x14ac:dyDescent="0.2">
      <c r="A102" s="62"/>
      <c r="B102" s="62"/>
      <c r="C102" s="48"/>
      <c r="D102" s="48"/>
      <c r="E102" s="48"/>
      <c r="F102" s="48"/>
      <c r="G102" s="56" t="e">
        <f>VLOOKUP(A102,Senha!$A$2:$G$148,7,FALSE)</f>
        <v>#N/A</v>
      </c>
      <c r="H102" s="47" t="s">
        <v>46</v>
      </c>
      <c r="I102" s="62"/>
      <c r="J102" s="62"/>
      <c r="K102" s="62"/>
      <c r="L102" s="48"/>
      <c r="M102" s="62"/>
      <c r="N102" s="62"/>
      <c r="O102" s="62"/>
      <c r="P102" s="62"/>
      <c r="Q102" s="62"/>
      <c r="R102" s="49"/>
      <c r="S102" s="49"/>
      <c r="T102" s="49"/>
    </row>
    <row r="103" spans="1:20" ht="12" customHeight="1" x14ac:dyDescent="0.2">
      <c r="A103" s="62"/>
      <c r="B103" s="62"/>
      <c r="C103" s="48"/>
      <c r="D103" s="48"/>
      <c r="E103" s="48"/>
      <c r="F103" s="48"/>
      <c r="G103" s="56" t="e">
        <f>VLOOKUP(A103,Senha!$A$2:$G$148,7,FALSE)</f>
        <v>#N/A</v>
      </c>
      <c r="H103" s="47" t="s">
        <v>46</v>
      </c>
      <c r="I103" s="62"/>
      <c r="J103" s="62"/>
      <c r="K103" s="62"/>
      <c r="L103" s="48"/>
      <c r="M103" s="62"/>
      <c r="N103" s="62"/>
      <c r="O103" s="62"/>
      <c r="P103" s="62"/>
      <c r="Q103" s="62"/>
      <c r="R103" s="49"/>
      <c r="S103" s="49"/>
      <c r="T103" s="49"/>
    </row>
    <row r="104" spans="1:20" ht="12" customHeight="1" x14ac:dyDescent="0.2">
      <c r="A104" s="62"/>
      <c r="B104" s="62"/>
      <c r="C104" s="48"/>
      <c r="D104" s="48"/>
      <c r="E104" s="48"/>
      <c r="F104" s="48"/>
      <c r="G104" s="56" t="e">
        <f>VLOOKUP(A104,Senha!$A$2:$G$148,7,FALSE)</f>
        <v>#N/A</v>
      </c>
      <c r="H104" s="47" t="s">
        <v>46</v>
      </c>
      <c r="I104" s="62"/>
      <c r="J104" s="62"/>
      <c r="K104" s="62"/>
      <c r="L104" s="50"/>
      <c r="M104" s="62"/>
      <c r="N104" s="62"/>
      <c r="O104" s="62"/>
      <c r="P104" s="62"/>
      <c r="Q104" s="62"/>
      <c r="R104" s="49"/>
      <c r="S104" s="49"/>
      <c r="T104" s="49"/>
    </row>
    <row r="105" spans="1:20" ht="12" customHeight="1" x14ac:dyDescent="0.2">
      <c r="A105" s="62"/>
      <c r="B105" s="62"/>
      <c r="C105" s="48"/>
      <c r="D105" s="48"/>
      <c r="E105" s="48"/>
      <c r="F105" s="48"/>
      <c r="G105" s="57"/>
      <c r="H105" s="47"/>
      <c r="I105" s="62"/>
      <c r="J105" s="62"/>
      <c r="K105" s="62"/>
      <c r="L105" s="48"/>
      <c r="M105" s="62"/>
      <c r="N105" s="62"/>
      <c r="O105" s="62"/>
      <c r="P105" s="62"/>
      <c r="Q105" s="62"/>
      <c r="R105" s="49"/>
      <c r="S105" s="49"/>
      <c r="T105" s="49"/>
    </row>
    <row r="106" spans="1:20" ht="12" customHeight="1" x14ac:dyDescent="0.2">
      <c r="A106" s="62"/>
      <c r="B106" s="62"/>
      <c r="C106" s="48"/>
      <c r="D106" s="48"/>
      <c r="E106" s="48"/>
      <c r="F106" s="48"/>
      <c r="G106" s="57"/>
      <c r="H106" s="47"/>
      <c r="I106" s="62"/>
      <c r="J106" s="62"/>
      <c r="K106" s="62"/>
      <c r="L106" s="48"/>
      <c r="M106" s="62"/>
      <c r="N106" s="62"/>
      <c r="O106" s="62"/>
      <c r="P106" s="62"/>
      <c r="Q106" s="62"/>
      <c r="R106" s="49"/>
      <c r="S106" s="49"/>
      <c r="T106" s="49"/>
    </row>
    <row r="107" spans="1:20" x14ac:dyDescent="0.2">
      <c r="A107" s="62"/>
      <c r="B107" s="62"/>
      <c r="C107" s="51"/>
      <c r="D107" s="51"/>
      <c r="E107" s="51"/>
      <c r="F107" s="51"/>
      <c r="G107" s="58"/>
      <c r="H107" s="52"/>
      <c r="I107" s="62"/>
      <c r="J107" s="62"/>
      <c r="K107" s="62"/>
      <c r="L107" s="49"/>
      <c r="M107" s="62"/>
      <c r="N107" s="62"/>
      <c r="O107" s="62"/>
      <c r="P107" s="62"/>
      <c r="Q107" s="62"/>
      <c r="R107" s="49"/>
      <c r="S107" s="49"/>
      <c r="T107" s="49"/>
    </row>
    <row r="108" spans="1:20" x14ac:dyDescent="0.2">
      <c r="A108" s="62"/>
      <c r="B108" s="62"/>
      <c r="C108" s="51"/>
      <c r="D108" s="51"/>
      <c r="E108" s="51"/>
      <c r="F108" s="51"/>
      <c r="G108" s="58"/>
      <c r="H108" s="52"/>
      <c r="I108" s="62"/>
      <c r="J108" s="62"/>
      <c r="K108" s="62"/>
      <c r="L108" s="49"/>
      <c r="M108" s="62"/>
      <c r="N108" s="62"/>
      <c r="O108" s="62"/>
      <c r="P108" s="62"/>
      <c r="Q108" s="62"/>
      <c r="R108" s="49"/>
      <c r="S108" s="49"/>
      <c r="T108" s="49"/>
    </row>
    <row r="109" spans="1:20" x14ac:dyDescent="0.2">
      <c r="A109" s="62"/>
      <c r="B109" s="62"/>
      <c r="C109" s="51"/>
      <c r="D109" s="51"/>
      <c r="E109" s="51"/>
      <c r="F109" s="51"/>
      <c r="G109" s="58"/>
      <c r="H109" s="52"/>
      <c r="I109" s="62"/>
      <c r="J109" s="62"/>
      <c r="K109" s="62"/>
      <c r="L109" s="49"/>
      <c r="M109" s="62"/>
      <c r="N109" s="62"/>
      <c r="O109" s="62"/>
      <c r="P109" s="62"/>
      <c r="Q109" s="62"/>
      <c r="R109" s="49"/>
      <c r="S109" s="49"/>
      <c r="T109" s="49"/>
    </row>
    <row r="110" spans="1:20" x14ac:dyDescent="0.2">
      <c r="A110" s="62"/>
      <c r="B110" s="62"/>
      <c r="C110" s="51"/>
      <c r="D110" s="51"/>
      <c r="E110" s="51"/>
      <c r="F110" s="51"/>
      <c r="G110" s="58"/>
      <c r="H110" s="52"/>
      <c r="I110" s="62"/>
      <c r="J110" s="62"/>
      <c r="K110" s="62"/>
      <c r="L110" s="49"/>
      <c r="M110" s="62"/>
      <c r="N110" s="62"/>
      <c r="O110" s="62"/>
      <c r="P110" s="62"/>
      <c r="Q110" s="62"/>
      <c r="R110" s="49"/>
      <c r="S110" s="49"/>
      <c r="T110" s="49"/>
    </row>
    <row r="111" spans="1:20" x14ac:dyDescent="0.2">
      <c r="A111" s="51"/>
      <c r="B111" s="62"/>
      <c r="C111" s="51"/>
      <c r="D111" s="51"/>
      <c r="E111" s="51"/>
      <c r="F111" s="51"/>
      <c r="G111" s="58"/>
      <c r="H111" s="52"/>
      <c r="I111" s="62"/>
      <c r="J111" s="62"/>
      <c r="K111" s="62"/>
      <c r="L111" s="49"/>
      <c r="M111" s="62"/>
      <c r="N111" s="62"/>
      <c r="O111" s="62"/>
      <c r="P111" s="62"/>
      <c r="Q111" s="62"/>
      <c r="R111" s="49"/>
      <c r="S111" s="49"/>
      <c r="T111" s="49"/>
    </row>
    <row r="112" spans="1:20" x14ac:dyDescent="0.2">
      <c r="A112" s="51"/>
      <c r="B112" s="51"/>
      <c r="C112" s="51"/>
      <c r="D112" s="51"/>
      <c r="E112" s="51"/>
      <c r="F112" s="51"/>
      <c r="G112" s="58"/>
      <c r="H112" s="52"/>
      <c r="I112" s="62"/>
      <c r="J112" s="62"/>
      <c r="K112" s="62"/>
      <c r="L112" s="49"/>
      <c r="M112" s="62"/>
      <c r="N112" s="62"/>
      <c r="O112" s="62"/>
      <c r="P112" s="62"/>
      <c r="Q112" s="62"/>
      <c r="R112" s="49"/>
      <c r="S112" s="49"/>
      <c r="T112" s="49"/>
    </row>
    <row r="113" spans="1:20" x14ac:dyDescent="0.2">
      <c r="A113" s="51"/>
      <c r="B113" s="51"/>
      <c r="C113" s="51"/>
      <c r="D113" s="51"/>
      <c r="E113" s="51"/>
      <c r="F113" s="51"/>
      <c r="G113" s="58"/>
      <c r="H113" s="52"/>
      <c r="I113" s="52"/>
      <c r="J113" s="62"/>
      <c r="K113" s="62"/>
      <c r="L113" s="49"/>
      <c r="M113" s="62"/>
      <c r="N113" s="49"/>
      <c r="O113" s="62"/>
      <c r="P113" s="62"/>
      <c r="Q113" s="62"/>
      <c r="R113" s="49"/>
      <c r="S113" s="49"/>
      <c r="T113" s="49"/>
    </row>
    <row r="114" spans="1:20" x14ac:dyDescent="0.2">
      <c r="A114" s="51"/>
      <c r="B114" s="51"/>
      <c r="C114" s="51"/>
      <c r="D114" s="51"/>
      <c r="E114" s="51"/>
      <c r="F114" s="51"/>
      <c r="G114" s="58"/>
      <c r="H114" s="52"/>
      <c r="I114" s="52"/>
      <c r="J114" s="62"/>
      <c r="K114" s="62"/>
      <c r="L114" s="49"/>
      <c r="M114" s="62"/>
      <c r="N114" s="49"/>
      <c r="O114" s="62"/>
      <c r="P114" s="62"/>
      <c r="Q114" s="62"/>
      <c r="R114" s="49"/>
      <c r="S114" s="49"/>
      <c r="T114" s="49"/>
    </row>
    <row r="115" spans="1:20" x14ac:dyDescent="0.2">
      <c r="A115" s="49"/>
      <c r="B115" s="49"/>
      <c r="C115" s="49"/>
      <c r="D115" s="49"/>
      <c r="E115" s="49"/>
      <c r="F115" s="49"/>
      <c r="G115" s="59"/>
      <c r="H115" s="53"/>
      <c r="I115" s="53"/>
      <c r="J115" s="62"/>
      <c r="K115" s="62"/>
      <c r="L115" s="49"/>
      <c r="M115" s="62"/>
      <c r="N115" s="49"/>
      <c r="O115" s="62"/>
      <c r="P115" s="62"/>
      <c r="Q115" s="62"/>
      <c r="R115" s="49"/>
      <c r="S115" s="49"/>
      <c r="T115" s="49"/>
    </row>
    <row r="116" spans="1:20" x14ac:dyDescent="0.2">
      <c r="A116" s="49"/>
      <c r="B116" s="49"/>
      <c r="C116" s="49"/>
      <c r="D116" s="49"/>
      <c r="E116" s="49"/>
      <c r="F116" s="49"/>
      <c r="G116" s="59"/>
      <c r="H116" s="53"/>
      <c r="I116" s="53"/>
      <c r="J116" s="62"/>
      <c r="K116" s="62"/>
      <c r="L116" s="53"/>
      <c r="M116" s="62"/>
      <c r="N116" s="53"/>
      <c r="O116" s="62"/>
      <c r="P116" s="62"/>
      <c r="Q116" s="62"/>
      <c r="R116" s="49"/>
      <c r="S116" s="49"/>
      <c r="T116" s="49"/>
    </row>
    <row r="117" spans="1:20" x14ac:dyDescent="0.2">
      <c r="A117" s="49"/>
      <c r="B117" s="49"/>
      <c r="C117" s="49"/>
      <c r="D117" s="49"/>
      <c r="E117" s="49"/>
      <c r="F117" s="49"/>
      <c r="G117" s="59"/>
      <c r="H117" s="53"/>
      <c r="I117" s="53"/>
      <c r="J117" s="62"/>
      <c r="K117" s="53"/>
      <c r="L117" s="53"/>
      <c r="M117" s="62"/>
      <c r="N117" s="53"/>
      <c r="O117" s="53"/>
      <c r="P117" s="62"/>
      <c r="Q117" s="62"/>
      <c r="R117" s="49"/>
      <c r="S117" s="49"/>
      <c r="T117" s="49"/>
    </row>
    <row r="118" spans="1:20" x14ac:dyDescent="0.2">
      <c r="A118" s="49"/>
      <c r="B118" s="49"/>
      <c r="C118" s="49"/>
      <c r="D118" s="49"/>
      <c r="E118" s="49"/>
      <c r="F118" s="49"/>
      <c r="G118" s="59"/>
      <c r="H118" s="53"/>
      <c r="I118" s="53"/>
      <c r="J118" s="53"/>
      <c r="K118" s="53"/>
      <c r="L118" s="53"/>
      <c r="M118" s="62"/>
      <c r="N118" s="53"/>
      <c r="O118" s="53"/>
      <c r="P118" s="62"/>
      <c r="Q118" s="62"/>
      <c r="R118" s="49"/>
      <c r="S118" s="49"/>
      <c r="T118" s="49"/>
    </row>
    <row r="119" spans="1:20" x14ac:dyDescent="0.2">
      <c r="A119" s="49"/>
      <c r="B119" s="49"/>
      <c r="C119" s="49"/>
      <c r="D119" s="49"/>
      <c r="E119" s="49"/>
      <c r="F119" s="49"/>
      <c r="G119" s="59"/>
      <c r="H119" s="53"/>
      <c r="I119" s="53"/>
      <c r="J119" s="53"/>
      <c r="K119" s="53"/>
      <c r="L119" s="53"/>
      <c r="M119" s="62"/>
      <c r="N119" s="53"/>
      <c r="O119" s="53"/>
      <c r="P119" s="62"/>
      <c r="Q119" s="62"/>
      <c r="R119" s="49"/>
      <c r="S119" s="49"/>
      <c r="T119" s="49"/>
    </row>
    <row r="120" spans="1:20" x14ac:dyDescent="0.2">
      <c r="A120" s="49"/>
      <c r="B120" s="49"/>
      <c r="C120" s="49"/>
      <c r="D120" s="49"/>
      <c r="E120" s="49"/>
      <c r="F120" s="49"/>
      <c r="G120" s="59"/>
      <c r="H120" s="53"/>
      <c r="I120" s="53"/>
      <c r="J120" s="53"/>
      <c r="K120" s="53"/>
      <c r="L120" s="53"/>
      <c r="M120" s="62"/>
      <c r="N120" s="53"/>
      <c r="O120" s="53"/>
      <c r="P120" s="62"/>
      <c r="Q120" s="62"/>
      <c r="R120" s="49"/>
      <c r="S120" s="49"/>
      <c r="T120" s="49"/>
    </row>
    <row r="121" spans="1:20" x14ac:dyDescent="0.2">
      <c r="A121" s="49"/>
      <c r="B121" s="49"/>
      <c r="C121" s="49"/>
      <c r="D121" s="49"/>
      <c r="E121" s="49"/>
      <c r="F121" s="49"/>
      <c r="G121" s="59"/>
      <c r="H121" s="53"/>
      <c r="I121" s="53"/>
      <c r="J121" s="53"/>
      <c r="K121" s="53"/>
      <c r="L121" s="53"/>
      <c r="M121" s="62"/>
      <c r="N121" s="53"/>
      <c r="O121" s="53"/>
      <c r="P121" s="53"/>
      <c r="Q121" s="62"/>
      <c r="R121" s="49"/>
      <c r="S121" s="49"/>
      <c r="T121" s="49"/>
    </row>
    <row r="122" spans="1:20" x14ac:dyDescent="0.2">
      <c r="A122" s="49"/>
      <c r="B122" s="49"/>
      <c r="C122" s="49"/>
      <c r="D122" s="49"/>
      <c r="E122" s="49"/>
      <c r="F122" s="49"/>
      <c r="G122" s="59"/>
      <c r="H122" s="53"/>
      <c r="I122" s="53"/>
      <c r="J122" s="53"/>
      <c r="K122" s="53"/>
      <c r="L122" s="53"/>
      <c r="M122" s="62"/>
      <c r="N122" s="53"/>
      <c r="O122" s="53"/>
      <c r="P122" s="53"/>
      <c r="Q122" s="62"/>
      <c r="R122" s="49"/>
      <c r="S122" s="49"/>
      <c r="T122" s="49"/>
    </row>
    <row r="123" spans="1:20" x14ac:dyDescent="0.2">
      <c r="A123" s="49"/>
      <c r="B123" s="49"/>
      <c r="C123" s="49"/>
      <c r="D123" s="49"/>
      <c r="E123" s="49"/>
      <c r="F123" s="49"/>
      <c r="G123" s="59"/>
      <c r="H123" s="53"/>
      <c r="I123" s="53"/>
      <c r="J123" s="53"/>
      <c r="K123" s="53"/>
      <c r="L123" s="53"/>
      <c r="M123" s="62"/>
      <c r="N123" s="53"/>
      <c r="O123" s="53"/>
      <c r="P123" s="53"/>
      <c r="Q123" s="62"/>
      <c r="R123" s="49"/>
      <c r="S123" s="49"/>
      <c r="T123" s="49"/>
    </row>
    <row r="124" spans="1:20" x14ac:dyDescent="0.2">
      <c r="A124" s="49"/>
      <c r="B124" s="49"/>
      <c r="C124" s="49"/>
      <c r="D124" s="49"/>
      <c r="E124" s="49"/>
      <c r="F124" s="49"/>
      <c r="G124" s="59"/>
      <c r="H124" s="53"/>
      <c r="I124" s="53"/>
      <c r="J124" s="53"/>
      <c r="K124" s="53"/>
      <c r="L124" s="53"/>
      <c r="M124" s="62"/>
      <c r="N124" s="53"/>
      <c r="O124" s="53"/>
      <c r="P124" s="53"/>
      <c r="Q124" s="49"/>
      <c r="R124" s="49"/>
      <c r="S124" s="49"/>
      <c r="T124" s="49"/>
    </row>
    <row r="125" spans="1:20" x14ac:dyDescent="0.2">
      <c r="A125" s="49"/>
      <c r="B125" s="49"/>
      <c r="C125" s="49"/>
      <c r="D125" s="49"/>
      <c r="E125" s="49"/>
      <c r="F125" s="49"/>
      <c r="G125" s="59"/>
      <c r="H125" s="53"/>
      <c r="I125" s="53"/>
      <c r="J125" s="53"/>
      <c r="K125" s="53"/>
      <c r="L125" s="53"/>
      <c r="M125" s="53"/>
      <c r="N125" s="53"/>
      <c r="O125" s="53"/>
      <c r="P125" s="53"/>
      <c r="Q125" s="49"/>
      <c r="R125" s="49"/>
      <c r="S125" s="49"/>
      <c r="T125" s="49"/>
    </row>
    <row r="126" spans="1:20" x14ac:dyDescent="0.2">
      <c r="A126" s="49"/>
      <c r="B126" s="49"/>
      <c r="C126" s="49"/>
      <c r="D126" s="49"/>
      <c r="E126" s="49"/>
      <c r="F126" s="49"/>
      <c r="G126" s="59"/>
      <c r="H126" s="53"/>
      <c r="I126" s="53"/>
      <c r="J126" s="53"/>
      <c r="K126" s="53"/>
      <c r="L126" s="53"/>
      <c r="M126" s="53"/>
      <c r="N126" s="53"/>
      <c r="O126" s="53"/>
      <c r="P126" s="53"/>
      <c r="Q126" s="49"/>
      <c r="R126" s="49"/>
      <c r="S126" s="49"/>
      <c r="T126" s="49"/>
    </row>
    <row r="127" spans="1:20" x14ac:dyDescent="0.2">
      <c r="A127" s="49"/>
      <c r="B127" s="49"/>
      <c r="C127" s="49"/>
      <c r="D127" s="49"/>
      <c r="E127" s="49"/>
      <c r="F127" s="49"/>
      <c r="G127" s="59"/>
      <c r="H127" s="53"/>
      <c r="I127" s="53"/>
      <c r="J127" s="53"/>
      <c r="K127" s="53"/>
      <c r="L127" s="53"/>
      <c r="M127" s="53"/>
      <c r="N127" s="53"/>
      <c r="O127" s="53"/>
      <c r="P127" s="53"/>
      <c r="Q127" s="49"/>
      <c r="R127" s="49"/>
      <c r="S127" s="49"/>
      <c r="T127" s="49"/>
    </row>
    <row r="128" spans="1:20" x14ac:dyDescent="0.2">
      <c r="A128" s="49"/>
      <c r="B128" s="49"/>
      <c r="C128" s="49"/>
      <c r="D128" s="49"/>
      <c r="E128" s="49"/>
      <c r="F128" s="49"/>
      <c r="G128" s="59"/>
      <c r="H128" s="53"/>
      <c r="I128" s="53"/>
      <c r="J128" s="53"/>
      <c r="K128" s="53"/>
      <c r="L128" s="53"/>
      <c r="M128" s="53"/>
      <c r="N128" s="53"/>
      <c r="O128" s="53"/>
      <c r="P128" s="53"/>
      <c r="Q128" s="49"/>
      <c r="R128" s="49"/>
      <c r="S128" s="49"/>
      <c r="T128" s="49"/>
    </row>
    <row r="129" spans="1:20" x14ac:dyDescent="0.2">
      <c r="A129" s="49"/>
      <c r="B129" s="49"/>
      <c r="C129" s="49"/>
      <c r="D129" s="49"/>
      <c r="E129" s="49"/>
      <c r="F129" s="49"/>
      <c r="G129" s="59"/>
      <c r="H129" s="53"/>
      <c r="I129" s="53"/>
      <c r="J129" s="53"/>
      <c r="K129" s="53"/>
      <c r="L129" s="53"/>
      <c r="M129" s="53"/>
      <c r="N129" s="53"/>
      <c r="O129" s="53"/>
      <c r="P129" s="53"/>
      <c r="Q129" s="49"/>
      <c r="R129" s="49"/>
      <c r="S129" s="49"/>
      <c r="T129" s="49"/>
    </row>
    <row r="130" spans="1:20" x14ac:dyDescent="0.2">
      <c r="A130" s="49"/>
      <c r="B130" s="49"/>
      <c r="C130" s="49"/>
      <c r="D130" s="49"/>
      <c r="E130" s="49"/>
      <c r="F130" s="49"/>
      <c r="G130" s="59"/>
      <c r="H130" s="53"/>
      <c r="I130" s="53"/>
      <c r="J130" s="53"/>
      <c r="K130" s="53"/>
      <c r="L130" s="53"/>
      <c r="M130" s="53"/>
      <c r="N130" s="53"/>
      <c r="O130" s="53"/>
      <c r="P130" s="53"/>
      <c r="Q130" s="49"/>
    </row>
  </sheetData>
  <sheetProtection password="C90F" sheet="1" objects="1" scenarios="1"/>
  <customSheetViews>
    <customSheetView guid="{D18E9169-ADA2-4392-B488-25F4D67B7B23}" showGridLines="0" state="hidden">
      <selection activeCell="A4" sqref="A4:B4"/>
      <pageMargins left="0.7" right="0.7" top="0.75" bottom="0.75" header="0.3" footer="0.3"/>
      <pageSetup paperSize="9" orientation="portrait" r:id="rId1"/>
    </customSheetView>
    <customSheetView guid="{89F529CE-CEE2-4840-81F9-3A5B94AB5264}" showGridLines="0" state="hidden" topLeftCell="A42">
      <selection activeCell="G82" sqref="G82"/>
      <pageMargins left="0.7" right="0.7" top="0.75" bottom="0.75" header="0.3" footer="0.3"/>
      <pageSetup paperSize="9" orientation="portrait" horizontalDpi="0" verticalDpi="0" r:id="rId2"/>
    </customSheetView>
    <customSheetView guid="{F8BE6937-468A-4F6A-8E70-5AA120E9866E}" showGridLines="0" state="hidden">
      <selection activeCell="G18" sqref="G18"/>
      <pageMargins left="0.7" right="0.7" top="0.75" bottom="0.75" header="0.3" footer="0.3"/>
      <pageSetup paperSize="9" orientation="portrait" horizontalDpi="0" verticalDpi="0" r:id="rId3"/>
    </customSheetView>
    <customSheetView guid="{0E0A957C-04A9-42C8-ABA3-3513FC1F301B}" showGridLines="0" state="hidden">
      <selection activeCell="G8" sqref="G8"/>
      <pageMargins left="0.7" right="0.7" top="0.75" bottom="0.75" header="0.3" footer="0.3"/>
      <pageSetup paperSize="9" orientation="portrait" horizontalDpi="0" verticalDpi="0" r:id="rId4"/>
    </customSheetView>
    <customSheetView guid="{49F7AF24-77AB-4269-A110-0D2F07E12FB4}" showGridLines="0" state="hidden" topLeftCell="A50">
      <selection activeCell="G68" sqref="G68"/>
      <pageMargins left="0.7" right="0.7" top="0.75" bottom="0.75" header="0.3" footer="0.3"/>
      <pageSetup paperSize="9" orientation="portrait" horizontalDpi="0" verticalDpi="0" r:id="rId5"/>
    </customSheetView>
    <customSheetView guid="{52DD4558-3C21-4CE8-A3CE-4A7295AB0882}" showGridLines="0" state="hidden" topLeftCell="A28">
      <selection activeCell="G63" sqref="G63"/>
      <pageMargins left="0.7" right="0.7" top="0.75" bottom="0.75" header="0.3" footer="0.3"/>
      <pageSetup paperSize="9" orientation="portrait" horizontalDpi="0" verticalDpi="0" r:id="rId6"/>
    </customSheetView>
    <customSheetView guid="{05BCE999-CA29-460C-9019-42DEAB5D08DA}" showGridLines="0" state="hidden" topLeftCell="A33">
      <selection activeCell="A51" sqref="A51"/>
      <pageMargins left="0.7" right="0.7" top="0.75" bottom="0.75" header="0.3" footer="0.3"/>
      <pageSetup paperSize="9" orientation="portrait" horizontalDpi="0" verticalDpi="0" r:id="rId7"/>
    </customSheetView>
    <customSheetView guid="{E5F88B68-4013-43BC-91FC-4D1B4BE2D858}" showGridLines="0" state="hidden" topLeftCell="A68">
      <selection activeCell="A90" sqref="A90"/>
      <pageMargins left="0.7" right="0.7" top="0.75" bottom="0.75" header="0.3" footer="0.3"/>
      <pageSetup paperSize="9" orientation="portrait" horizontalDpi="0" verticalDpi="0" r:id="rId8"/>
    </customSheetView>
    <customSheetView guid="{748ECF6D-D04A-4335-B743-F87DF6CB7A38}" showGridLines="0" state="hidden" topLeftCell="A16">
      <selection activeCell="B4" sqref="B4"/>
      <pageMargins left="0.7" right="0.7" top="0.75" bottom="0.75" header="0.3" footer="0.3"/>
      <pageSetup paperSize="9" orientation="portrait" horizontalDpi="0" verticalDpi="0" r:id="rId9"/>
    </customSheetView>
    <customSheetView guid="{74C1666D-8424-4791-9A03-96D64996021D}" showGridLines="0" state="hidden" topLeftCell="A19">
      <selection activeCell="B50" sqref="B50"/>
      <pageMargins left="0.7" right="0.7" top="0.75" bottom="0.75" header="0.3" footer="0.3"/>
      <pageSetup paperSize="9" orientation="portrait" r:id="rId10"/>
    </customSheetView>
  </customSheetViews>
  <mergeCells count="9">
    <mergeCell ref="Q2:Q3"/>
    <mergeCell ref="P1:Q1"/>
    <mergeCell ref="N1:O1"/>
    <mergeCell ref="K1:M1"/>
    <mergeCell ref="K2:K3"/>
    <mergeCell ref="M2:M3"/>
    <mergeCell ref="N2:N3"/>
    <mergeCell ref="O2:O3"/>
    <mergeCell ref="P2:P3"/>
  </mergeCells>
  <pageMargins left="0.7" right="0.7" top="0.75" bottom="0.75" header="0.3" footer="0.3"/>
  <pageSetup paperSize="9" orientation="portrait" r:id="rId1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AT2231"/>
  <sheetViews>
    <sheetView showGridLines="0" showRowColHeaders="0" tabSelected="1" workbookViewId="0">
      <selection activeCell="E39" sqref="E39"/>
    </sheetView>
  </sheetViews>
  <sheetFormatPr defaultRowHeight="12.75" x14ac:dyDescent="0.2"/>
  <cols>
    <col min="1" max="1" width="9.33203125" style="9"/>
    <col min="2" max="2" width="9.33203125" style="1"/>
    <col min="3" max="3" width="15.5" style="1" customWidth="1"/>
    <col min="4" max="4" width="9.33203125" style="1" customWidth="1"/>
    <col min="5" max="5" width="65" style="1" customWidth="1"/>
    <col min="6" max="16" width="10.83203125" style="1" customWidth="1"/>
    <col min="17" max="17" width="10.83203125" style="9" customWidth="1"/>
    <col min="18" max="18" width="6.6640625" style="9" customWidth="1"/>
    <col min="19" max="19" width="10.83203125" style="9" customWidth="1"/>
    <col min="20" max="46" width="9.33203125" style="9"/>
    <col min="47" max="16384" width="9.33203125" style="1"/>
  </cols>
  <sheetData>
    <row r="1" spans="1:19" s="9" customFormat="1" ht="2.1" customHeight="1" x14ac:dyDescent="0.2">
      <c r="A1" s="30">
        <v>1</v>
      </c>
    </row>
    <row r="2" spans="1:19" ht="12.75" customHeight="1" x14ac:dyDescent="0.2">
      <c r="A2" s="77" t="s">
        <v>43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</row>
    <row r="3" spans="1:19" ht="12.75" customHeight="1" x14ac:dyDescent="0.2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</row>
    <row r="4" spans="1:19" ht="12.75" customHeight="1" x14ac:dyDescent="0.2">
      <c r="A4" s="78"/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</row>
    <row r="5" spans="1:19" ht="12.75" customHeight="1" x14ac:dyDescent="0.2">
      <c r="A5" s="78"/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</row>
    <row r="6" spans="1:19" ht="12.75" customHeight="1" x14ac:dyDescent="0.2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</row>
    <row r="7" spans="1:19" ht="12.75" customHeight="1" x14ac:dyDescent="0.2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</row>
    <row r="8" spans="1:19" s="9" customFormat="1" ht="5.0999999999999996" customHeight="1" x14ac:dyDescent="0.2"/>
    <row r="13" spans="1:19" ht="15.75" x14ac:dyDescent="0.2">
      <c r="H13" s="5"/>
      <c r="I13" s="5"/>
      <c r="J13" s="2"/>
      <c r="K13" s="5"/>
    </row>
    <row r="14" spans="1:19" ht="15.75" x14ac:dyDescent="0.2">
      <c r="B14" s="5"/>
      <c r="F14" s="86" t="s">
        <v>44</v>
      </c>
      <c r="H14" s="86" t="s">
        <v>45</v>
      </c>
    </row>
    <row r="15" spans="1:19" ht="5.0999999999999996" customHeight="1" x14ac:dyDescent="0.2">
      <c r="F15" s="87"/>
      <c r="H15" s="87"/>
    </row>
    <row r="16" spans="1:19" ht="5.0999999999999996" customHeight="1" x14ac:dyDescent="0.2">
      <c r="F16" s="87"/>
      <c r="H16" s="87"/>
    </row>
    <row r="17" spans="3:19" ht="5.0999999999999996" customHeight="1" x14ac:dyDescent="0.2">
      <c r="F17" s="87"/>
      <c r="H17" s="87"/>
    </row>
    <row r="18" spans="3:19" x14ac:dyDescent="0.2">
      <c r="F18" s="81"/>
      <c r="G18" s="18"/>
      <c r="H18" s="82"/>
    </row>
    <row r="19" spans="3:19" x14ac:dyDescent="0.2">
      <c r="F19" s="81"/>
      <c r="H19" s="83"/>
    </row>
    <row r="20" spans="3:19" x14ac:dyDescent="0.2">
      <c r="H20" s="29"/>
    </row>
    <row r="21" spans="3:19" ht="16.5" x14ac:dyDescent="0.2">
      <c r="G21" s="7"/>
      <c r="H21" s="8"/>
      <c r="I21" s="7"/>
      <c r="J21" s="7"/>
      <c r="K21" s="7"/>
      <c r="L21" s="7"/>
      <c r="M21" s="7"/>
      <c r="N21" s="7"/>
    </row>
    <row r="22" spans="3:19" ht="16.5" x14ac:dyDescent="0.2">
      <c r="G22" s="8"/>
      <c r="H22" s="8"/>
      <c r="I22" s="8"/>
      <c r="J22" s="8"/>
      <c r="K22" s="8"/>
      <c r="L22" s="8"/>
      <c r="M22" s="8"/>
      <c r="N22" s="8"/>
    </row>
    <row r="23" spans="3:19" ht="16.5" x14ac:dyDescent="0.2">
      <c r="G23" s="88" t="s">
        <v>296</v>
      </c>
      <c r="H23" s="89"/>
      <c r="I23" s="88" t="s">
        <v>114</v>
      </c>
      <c r="J23" s="89"/>
      <c r="K23" s="91" t="s">
        <v>513</v>
      </c>
      <c r="L23" s="92"/>
      <c r="M23" s="8"/>
      <c r="N23" s="8"/>
    </row>
    <row r="24" spans="3:19" ht="12.75" customHeight="1" x14ac:dyDescent="0.2">
      <c r="C24" s="11"/>
      <c r="D24" s="79" t="s">
        <v>44</v>
      </c>
      <c r="E24" s="79" t="s">
        <v>110</v>
      </c>
      <c r="F24" s="72" t="s">
        <v>111</v>
      </c>
      <c r="G24" s="72" t="s">
        <v>112</v>
      </c>
      <c r="H24" s="72" t="s">
        <v>113</v>
      </c>
      <c r="I24" s="72" t="s">
        <v>39</v>
      </c>
      <c r="J24" s="72" t="s">
        <v>40</v>
      </c>
      <c r="K24" s="84" t="s">
        <v>112</v>
      </c>
      <c r="L24" s="84" t="s">
        <v>113</v>
      </c>
      <c r="M24" s="11"/>
      <c r="N24" s="11"/>
      <c r="O24" s="11"/>
      <c r="P24" s="11"/>
      <c r="Q24" s="12"/>
      <c r="R24" s="12"/>
      <c r="S24" s="12"/>
    </row>
    <row r="25" spans="3:19" ht="18.75" customHeight="1" x14ac:dyDescent="0.2">
      <c r="C25" s="13"/>
      <c r="D25" s="80"/>
      <c r="E25" s="80"/>
      <c r="F25" s="73"/>
      <c r="G25" s="73"/>
      <c r="H25" s="73"/>
      <c r="I25" s="90"/>
      <c r="J25" s="90"/>
      <c r="K25" s="85"/>
      <c r="L25" s="85"/>
      <c r="M25" s="11"/>
      <c r="N25" s="11"/>
      <c r="O25" s="11"/>
      <c r="P25" s="11"/>
      <c r="Q25" s="12"/>
      <c r="R25" s="12"/>
      <c r="S25" s="12"/>
    </row>
    <row r="26" spans="3:19" ht="18.75" customHeight="1" x14ac:dyDescent="0.2">
      <c r="D26" s="31"/>
      <c r="E26" s="31" t="str">
        <f t="array" ref="E26">IF(H18="","",INDEX(Dados!B4:'Dados'!B199,MATCH(F18&amp;H18,Dados!A4:'Dados'!A200&amp;Dados!G4:'Dados'!G200,0)))</f>
        <v/>
      </c>
      <c r="F26" s="31" t="str">
        <f t="array" ref="F26">IF(H18="","",INDEX(Dados!I4:'Dados'!I199,MATCH(F18&amp;H18,Dados!A4:'Dados'!A200&amp;Dados!G4:'Dados'!G200,0)))</f>
        <v/>
      </c>
      <c r="G26" s="31" t="str">
        <f t="array" ref="G26">IF(H18="","",INDEX(Dados!K4:'Dados'!K200,MATCH(F18&amp;H18,Dados!A4:'Dados'!A200&amp;Dados!G4:'Dados'!G200,0)))</f>
        <v/>
      </c>
      <c r="H26" s="31" t="str">
        <f t="array" ref="H26">IF(H18="","",INDEX(Dados!M4:'Dados'!M200,MATCH(F18&amp;H18,Dados!A4:'Dados'!A200&amp;Dados!G4:'Dados'!G200,0)))</f>
        <v/>
      </c>
      <c r="I26" s="31" t="str">
        <f t="array" ref="I26">IF(H18="","",INDEX(Dados!N4:'Dados'!N200,MATCH(F18&amp;H18,Dados!A4:'Dados'!A200&amp;Dados!G4:'Dados'!G200,0)))</f>
        <v/>
      </c>
      <c r="J26" s="31" t="str">
        <f t="array" ref="J26">IF(H18="","",INDEX(Dados!O4:'Dados'!O200,MATCH(F18&amp;H18,Dados!A4:'Dados'!A200&amp;Dados!G4:'Dados'!G200,0)))</f>
        <v/>
      </c>
      <c r="K26" s="31" t="str">
        <f t="array" ref="K26">IF(H18="","",INDEX(Dados!P4:'Dados'!P200,MATCH(F18&amp;H18,Dados!A4:'Dados'!A200&amp;Dados!G4:'Dados'!G200,0)))</f>
        <v/>
      </c>
      <c r="L26" s="31" t="str">
        <f t="array" ref="L26">IF(H18="","",INDEX(Dados!Q4:'Dados'!Q200,MATCH(F18&amp;H18,Dados!A4:'Dados'!A200&amp;Dados!G4:'Dados'!G200,0)))</f>
        <v/>
      </c>
      <c r="M26" s="14"/>
      <c r="N26" s="14"/>
      <c r="O26" s="14"/>
      <c r="P26" s="14"/>
      <c r="Q26" s="15"/>
      <c r="R26" s="15"/>
      <c r="S26" s="15"/>
    </row>
    <row r="27" spans="3:19" ht="18.75" customHeight="1" x14ac:dyDescent="0.2">
      <c r="F27" s="3"/>
      <c r="G27" s="3"/>
      <c r="J27" s="6"/>
      <c r="M27" s="70"/>
      <c r="N27" s="71"/>
    </row>
    <row r="28" spans="3:19" ht="18.75" customHeight="1" x14ac:dyDescent="0.2">
      <c r="F28" s="3"/>
      <c r="G28" s="3"/>
      <c r="H28" s="10"/>
      <c r="I28" s="10"/>
      <c r="J28" s="4"/>
    </row>
    <row r="29" spans="3:19" ht="18.75" customHeight="1" x14ac:dyDescent="0.2"/>
    <row r="30" spans="3:19" ht="18.75" customHeight="1" x14ac:dyDescent="0.2">
      <c r="D30" s="16"/>
    </row>
    <row r="31" spans="3:19" x14ac:dyDescent="0.2">
      <c r="D31" s="74" t="str">
        <f>IF(H18="","","NÃO SALVE A PLANILHA")</f>
        <v/>
      </c>
      <c r="E31" s="75"/>
      <c r="F31" s="75"/>
      <c r="G31" s="75"/>
      <c r="H31" s="75"/>
      <c r="I31" s="75"/>
      <c r="J31" s="75"/>
      <c r="K31" s="75"/>
      <c r="L31" s="75"/>
    </row>
    <row r="32" spans="3:19" x14ac:dyDescent="0.2">
      <c r="D32" s="76"/>
      <c r="E32" s="76"/>
      <c r="F32" s="76"/>
      <c r="G32" s="76"/>
      <c r="H32" s="76"/>
      <c r="I32" s="76"/>
      <c r="J32" s="76"/>
      <c r="K32" s="76"/>
      <c r="L32" s="76"/>
    </row>
    <row r="33" spans="2:16" ht="12.75" customHeight="1" x14ac:dyDescent="0.2">
      <c r="H33" s="28"/>
    </row>
    <row r="34" spans="2:16" ht="12.75" customHeight="1" x14ac:dyDescent="0.2"/>
    <row r="35" spans="2:16" ht="12.75" customHeight="1" x14ac:dyDescent="0.2"/>
    <row r="36" spans="2:16" ht="12.75" customHeight="1" x14ac:dyDescent="0.2"/>
    <row r="37" spans="2:16" ht="12.75" customHeight="1" x14ac:dyDescent="0.2"/>
    <row r="48" spans="2:16" x14ac:dyDescent="0.2"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</row>
    <row r="49" spans="2:16" x14ac:dyDescent="0.2"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</row>
    <row r="50" spans="2:16" x14ac:dyDescent="0.2"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</row>
    <row r="51" spans="2:16" x14ac:dyDescent="0.2"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</row>
    <row r="52" spans="2:16" x14ac:dyDescent="0.2"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</row>
    <row r="53" spans="2:16" x14ac:dyDescent="0.2"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</row>
    <row r="54" spans="2:16" x14ac:dyDescent="0.2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</row>
    <row r="55" spans="2:16" x14ac:dyDescent="0.2"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</row>
    <row r="56" spans="2:16" x14ac:dyDescent="0.2"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</row>
    <row r="57" spans="2:16" x14ac:dyDescent="0.2"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</row>
    <row r="58" spans="2:16" x14ac:dyDescent="0.2"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</row>
    <row r="59" spans="2:16" x14ac:dyDescent="0.2"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</row>
    <row r="60" spans="2:16" x14ac:dyDescent="0.2"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</row>
    <row r="61" spans="2:16" x14ac:dyDescent="0.2"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</row>
    <row r="62" spans="2:16" x14ac:dyDescent="0.2"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</row>
    <row r="63" spans="2:16" x14ac:dyDescent="0.2"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</row>
    <row r="64" spans="2:16" x14ac:dyDescent="0.2"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</row>
    <row r="65" spans="2:16" x14ac:dyDescent="0.2"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</row>
    <row r="66" spans="2:16" x14ac:dyDescent="0.2"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</row>
    <row r="67" spans="2:16" x14ac:dyDescent="0.2"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</row>
    <row r="68" spans="2:16" x14ac:dyDescent="0.2"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</row>
    <row r="69" spans="2:16" x14ac:dyDescent="0.2"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</row>
    <row r="70" spans="2:16" x14ac:dyDescent="0.2"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</row>
    <row r="71" spans="2:16" x14ac:dyDescent="0.2"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</row>
    <row r="72" spans="2:16" x14ac:dyDescent="0.2"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</row>
    <row r="73" spans="2:16" x14ac:dyDescent="0.2"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</row>
    <row r="74" spans="2:16" x14ac:dyDescent="0.2"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</row>
    <row r="75" spans="2:16" x14ac:dyDescent="0.2"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</row>
    <row r="76" spans="2:16" x14ac:dyDescent="0.2"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</row>
    <row r="77" spans="2:16" x14ac:dyDescent="0.2"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</row>
    <row r="78" spans="2:16" x14ac:dyDescent="0.2"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</row>
    <row r="79" spans="2:16" x14ac:dyDescent="0.2"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</row>
    <row r="80" spans="2:16" x14ac:dyDescent="0.2"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</row>
    <row r="81" spans="2:16" x14ac:dyDescent="0.2"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</row>
    <row r="82" spans="2:16" x14ac:dyDescent="0.2"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</row>
    <row r="83" spans="2:16" x14ac:dyDescent="0.2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</row>
    <row r="84" spans="2:16" x14ac:dyDescent="0.2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</row>
    <row r="85" spans="2:16" x14ac:dyDescent="0.2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</row>
    <row r="86" spans="2:16" x14ac:dyDescent="0.2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</row>
    <row r="87" spans="2:16" x14ac:dyDescent="0.2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</row>
    <row r="88" spans="2:16" x14ac:dyDescent="0.2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</row>
    <row r="89" spans="2:16" x14ac:dyDescent="0.2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</row>
    <row r="90" spans="2:16" x14ac:dyDescent="0.2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</row>
    <row r="91" spans="2:16" x14ac:dyDescent="0.2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</row>
    <row r="92" spans="2:16" x14ac:dyDescent="0.2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</row>
    <row r="93" spans="2:16" x14ac:dyDescent="0.2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</row>
    <row r="94" spans="2:16" x14ac:dyDescent="0.2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</row>
    <row r="95" spans="2:16" x14ac:dyDescent="0.2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</row>
    <row r="96" spans="2:16" x14ac:dyDescent="0.2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</row>
    <row r="97" spans="2:16" x14ac:dyDescent="0.2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</row>
    <row r="98" spans="2:16" x14ac:dyDescent="0.2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</row>
    <row r="99" spans="2:16" x14ac:dyDescent="0.2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</row>
    <row r="100" spans="2:16" x14ac:dyDescent="0.2"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</row>
    <row r="101" spans="2:16" x14ac:dyDescent="0.2"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</row>
    <row r="102" spans="2:16" x14ac:dyDescent="0.2"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</row>
    <row r="103" spans="2:16" x14ac:dyDescent="0.2"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</row>
    <row r="104" spans="2:16" x14ac:dyDescent="0.2"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</row>
    <row r="105" spans="2:16" x14ac:dyDescent="0.2"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</row>
    <row r="106" spans="2:16" x14ac:dyDescent="0.2"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</row>
    <row r="107" spans="2:16" x14ac:dyDescent="0.2"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</row>
    <row r="108" spans="2:16" x14ac:dyDescent="0.2"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</row>
    <row r="109" spans="2:16" x14ac:dyDescent="0.2"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</row>
    <row r="110" spans="2:16" x14ac:dyDescent="0.2"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</row>
    <row r="111" spans="2:16" x14ac:dyDescent="0.2"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</row>
    <row r="112" spans="2:16" x14ac:dyDescent="0.2"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</row>
    <row r="113" spans="2:16" x14ac:dyDescent="0.2"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</row>
    <row r="114" spans="2:16" x14ac:dyDescent="0.2"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</row>
    <row r="115" spans="2:16" x14ac:dyDescent="0.2"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</row>
    <row r="116" spans="2:16" x14ac:dyDescent="0.2"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</row>
    <row r="117" spans="2:16" x14ac:dyDescent="0.2"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</row>
    <row r="118" spans="2:16" x14ac:dyDescent="0.2"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</row>
    <row r="119" spans="2:16" x14ac:dyDescent="0.2"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</row>
    <row r="120" spans="2:16" x14ac:dyDescent="0.2"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</row>
    <row r="121" spans="2:16" x14ac:dyDescent="0.2"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</row>
    <row r="122" spans="2:16" x14ac:dyDescent="0.2"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</row>
    <row r="123" spans="2:16" x14ac:dyDescent="0.2"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</row>
    <row r="124" spans="2:16" x14ac:dyDescent="0.2"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</row>
    <row r="125" spans="2:16" x14ac:dyDescent="0.2"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</row>
    <row r="126" spans="2:16" x14ac:dyDescent="0.2"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</row>
    <row r="127" spans="2:16" x14ac:dyDescent="0.2"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</row>
    <row r="128" spans="2:16" x14ac:dyDescent="0.2"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</row>
    <row r="129" spans="2:16" x14ac:dyDescent="0.2"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</row>
    <row r="130" spans="2:16" x14ac:dyDescent="0.2"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</row>
    <row r="131" spans="2:16" x14ac:dyDescent="0.2"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</row>
    <row r="132" spans="2:16" x14ac:dyDescent="0.2"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</row>
    <row r="133" spans="2:16" x14ac:dyDescent="0.2"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</row>
    <row r="134" spans="2:16" x14ac:dyDescent="0.2"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</row>
    <row r="135" spans="2:16" x14ac:dyDescent="0.2"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</row>
    <row r="136" spans="2:16" x14ac:dyDescent="0.2"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</row>
    <row r="137" spans="2:16" x14ac:dyDescent="0.2"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</row>
    <row r="138" spans="2:16" x14ac:dyDescent="0.2"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</row>
    <row r="139" spans="2:16" x14ac:dyDescent="0.2"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</row>
    <row r="140" spans="2:16" x14ac:dyDescent="0.2"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</row>
    <row r="141" spans="2:16" x14ac:dyDescent="0.2"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</row>
    <row r="142" spans="2:16" x14ac:dyDescent="0.2"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</row>
    <row r="143" spans="2:16" x14ac:dyDescent="0.2"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</row>
    <row r="144" spans="2:16" x14ac:dyDescent="0.2"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</row>
    <row r="145" spans="2:16" x14ac:dyDescent="0.2"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</row>
    <row r="146" spans="2:16" x14ac:dyDescent="0.2"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</row>
    <row r="147" spans="2:16" x14ac:dyDescent="0.2"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</row>
    <row r="148" spans="2:16" x14ac:dyDescent="0.2"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</row>
    <row r="149" spans="2:16" x14ac:dyDescent="0.2"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</row>
    <row r="150" spans="2:16" x14ac:dyDescent="0.2"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</row>
    <row r="151" spans="2:16" x14ac:dyDescent="0.2"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</row>
    <row r="152" spans="2:16" x14ac:dyDescent="0.2"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</row>
    <row r="153" spans="2:16" x14ac:dyDescent="0.2"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</row>
    <row r="154" spans="2:16" x14ac:dyDescent="0.2"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</row>
    <row r="155" spans="2:16" x14ac:dyDescent="0.2"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</row>
    <row r="156" spans="2:16" x14ac:dyDescent="0.2"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</row>
    <row r="157" spans="2:16" x14ac:dyDescent="0.2"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</row>
    <row r="158" spans="2:16" x14ac:dyDescent="0.2"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</row>
    <row r="159" spans="2:16" x14ac:dyDescent="0.2"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</row>
    <row r="160" spans="2:16" x14ac:dyDescent="0.2"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</row>
    <row r="161" spans="2:16" x14ac:dyDescent="0.2"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</row>
    <row r="162" spans="2:16" x14ac:dyDescent="0.2"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</row>
    <row r="163" spans="2:16" x14ac:dyDescent="0.2"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</row>
    <row r="164" spans="2:16" x14ac:dyDescent="0.2"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</row>
    <row r="165" spans="2:16" x14ac:dyDescent="0.2"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</row>
    <row r="166" spans="2:16" x14ac:dyDescent="0.2"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</row>
    <row r="167" spans="2:16" x14ac:dyDescent="0.2"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</row>
    <row r="168" spans="2:16" x14ac:dyDescent="0.2"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</row>
    <row r="169" spans="2:16" x14ac:dyDescent="0.2"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</row>
    <row r="170" spans="2:16" x14ac:dyDescent="0.2"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</row>
    <row r="171" spans="2:16" x14ac:dyDescent="0.2"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</row>
    <row r="172" spans="2:16" x14ac:dyDescent="0.2"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</row>
    <row r="173" spans="2:16" x14ac:dyDescent="0.2"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</row>
    <row r="174" spans="2:16" x14ac:dyDescent="0.2"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</row>
    <row r="175" spans="2:16" x14ac:dyDescent="0.2"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</row>
    <row r="176" spans="2:16" x14ac:dyDescent="0.2"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</row>
    <row r="177" spans="2:16" x14ac:dyDescent="0.2"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</row>
    <row r="178" spans="2:16" x14ac:dyDescent="0.2"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</row>
    <row r="179" spans="2:16" x14ac:dyDescent="0.2"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</row>
    <row r="180" spans="2:16" x14ac:dyDescent="0.2"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</row>
    <row r="181" spans="2:16" x14ac:dyDescent="0.2"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</row>
    <row r="182" spans="2:16" x14ac:dyDescent="0.2"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</row>
    <row r="183" spans="2:16" x14ac:dyDescent="0.2"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</row>
    <row r="184" spans="2:16" x14ac:dyDescent="0.2"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</row>
    <row r="185" spans="2:16" x14ac:dyDescent="0.2"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</row>
    <row r="186" spans="2:16" x14ac:dyDescent="0.2"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</row>
    <row r="187" spans="2:16" x14ac:dyDescent="0.2"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</row>
    <row r="188" spans="2:16" x14ac:dyDescent="0.2"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</row>
    <row r="189" spans="2:16" x14ac:dyDescent="0.2"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</row>
    <row r="190" spans="2:16" x14ac:dyDescent="0.2"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</row>
    <row r="191" spans="2:16" x14ac:dyDescent="0.2"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</row>
    <row r="192" spans="2:16" x14ac:dyDescent="0.2"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</row>
    <row r="193" spans="2:16" x14ac:dyDescent="0.2"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</row>
    <row r="194" spans="2:16" x14ac:dyDescent="0.2"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</row>
    <row r="195" spans="2:16" x14ac:dyDescent="0.2"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</row>
    <row r="196" spans="2:16" x14ac:dyDescent="0.2"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</row>
    <row r="197" spans="2:16" x14ac:dyDescent="0.2"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</row>
    <row r="198" spans="2:16" x14ac:dyDescent="0.2"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</row>
    <row r="199" spans="2:16" x14ac:dyDescent="0.2"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</row>
    <row r="200" spans="2:16" x14ac:dyDescent="0.2"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</row>
    <row r="201" spans="2:16" x14ac:dyDescent="0.2"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</row>
    <row r="202" spans="2:16" x14ac:dyDescent="0.2"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</row>
    <row r="203" spans="2:16" x14ac:dyDescent="0.2"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</row>
    <row r="204" spans="2:16" x14ac:dyDescent="0.2"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</row>
    <row r="205" spans="2:16" x14ac:dyDescent="0.2"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</row>
    <row r="206" spans="2:16" x14ac:dyDescent="0.2"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</row>
    <row r="207" spans="2:16" x14ac:dyDescent="0.2"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</row>
    <row r="208" spans="2:16" x14ac:dyDescent="0.2"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</row>
    <row r="209" spans="2:16" x14ac:dyDescent="0.2"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</row>
    <row r="210" spans="2:16" x14ac:dyDescent="0.2"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</row>
    <row r="211" spans="2:16" x14ac:dyDescent="0.2"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</row>
    <row r="212" spans="2:16" x14ac:dyDescent="0.2"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</row>
    <row r="213" spans="2:16" x14ac:dyDescent="0.2"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</row>
    <row r="214" spans="2:16" x14ac:dyDescent="0.2"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</row>
    <row r="215" spans="2:16" x14ac:dyDescent="0.2"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</row>
    <row r="216" spans="2:16" x14ac:dyDescent="0.2"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</row>
    <row r="217" spans="2:16" x14ac:dyDescent="0.2"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</row>
    <row r="218" spans="2:16" x14ac:dyDescent="0.2"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</row>
    <row r="219" spans="2:16" x14ac:dyDescent="0.2"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</row>
    <row r="220" spans="2:16" x14ac:dyDescent="0.2"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</row>
    <row r="221" spans="2:16" x14ac:dyDescent="0.2"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</row>
    <row r="222" spans="2:16" x14ac:dyDescent="0.2"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</row>
    <row r="223" spans="2:16" x14ac:dyDescent="0.2"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</row>
    <row r="224" spans="2:16" x14ac:dyDescent="0.2"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</row>
    <row r="225" spans="2:16" x14ac:dyDescent="0.2"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</row>
    <row r="226" spans="2:16" x14ac:dyDescent="0.2"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</row>
    <row r="227" spans="2:16" x14ac:dyDescent="0.2"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</row>
    <row r="228" spans="2:16" x14ac:dyDescent="0.2"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</row>
    <row r="229" spans="2:16" x14ac:dyDescent="0.2"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</row>
    <row r="230" spans="2:16" x14ac:dyDescent="0.2"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</row>
    <row r="231" spans="2:16" x14ac:dyDescent="0.2"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</row>
    <row r="232" spans="2:16" x14ac:dyDescent="0.2"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</row>
    <row r="233" spans="2:16" x14ac:dyDescent="0.2"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</row>
    <row r="234" spans="2:16" x14ac:dyDescent="0.2"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</row>
    <row r="235" spans="2:16" x14ac:dyDescent="0.2"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</row>
    <row r="236" spans="2:16" x14ac:dyDescent="0.2"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</row>
    <row r="237" spans="2:16" x14ac:dyDescent="0.2"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</row>
    <row r="238" spans="2:16" x14ac:dyDescent="0.2"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</row>
    <row r="239" spans="2:16" x14ac:dyDescent="0.2"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</row>
    <row r="240" spans="2:16" x14ac:dyDescent="0.2"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</row>
    <row r="241" spans="2:16" x14ac:dyDescent="0.2"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</row>
    <row r="242" spans="2:16" x14ac:dyDescent="0.2"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</row>
    <row r="243" spans="2:16" x14ac:dyDescent="0.2"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</row>
    <row r="244" spans="2:16" x14ac:dyDescent="0.2"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</row>
    <row r="245" spans="2:16" x14ac:dyDescent="0.2"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</row>
    <row r="246" spans="2:16" x14ac:dyDescent="0.2"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</row>
    <row r="247" spans="2:16" x14ac:dyDescent="0.2"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</row>
    <row r="248" spans="2:16" x14ac:dyDescent="0.2"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</row>
    <row r="249" spans="2:16" x14ac:dyDescent="0.2"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</row>
    <row r="250" spans="2:16" x14ac:dyDescent="0.2"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</row>
    <row r="251" spans="2:16" x14ac:dyDescent="0.2"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</row>
    <row r="252" spans="2:16" x14ac:dyDescent="0.2"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</row>
    <row r="253" spans="2:16" x14ac:dyDescent="0.2"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</row>
    <row r="254" spans="2:16" x14ac:dyDescent="0.2"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</row>
    <row r="255" spans="2:16" x14ac:dyDescent="0.2"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</row>
    <row r="256" spans="2:16" x14ac:dyDescent="0.2"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</row>
    <row r="257" spans="2:16" x14ac:dyDescent="0.2"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</row>
    <row r="258" spans="2:16" x14ac:dyDescent="0.2"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</row>
    <row r="259" spans="2:16" x14ac:dyDescent="0.2"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</row>
    <row r="260" spans="2:16" x14ac:dyDescent="0.2"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</row>
    <row r="261" spans="2:16" x14ac:dyDescent="0.2"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</row>
    <row r="262" spans="2:16" x14ac:dyDescent="0.2"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</row>
    <row r="263" spans="2:16" x14ac:dyDescent="0.2"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</row>
    <row r="264" spans="2:16" x14ac:dyDescent="0.2"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</row>
    <row r="265" spans="2:16" x14ac:dyDescent="0.2"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</row>
    <row r="266" spans="2:16" x14ac:dyDescent="0.2"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</row>
    <row r="267" spans="2:16" x14ac:dyDescent="0.2"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</row>
    <row r="268" spans="2:16" x14ac:dyDescent="0.2"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</row>
    <row r="269" spans="2:16" x14ac:dyDescent="0.2"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</row>
    <row r="270" spans="2:16" x14ac:dyDescent="0.2"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</row>
    <row r="271" spans="2:16" x14ac:dyDescent="0.2"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</row>
    <row r="272" spans="2:16" x14ac:dyDescent="0.2"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</row>
    <row r="273" spans="2:16" x14ac:dyDescent="0.2"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</row>
    <row r="274" spans="2:16" x14ac:dyDescent="0.2"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</row>
    <row r="275" spans="2:16" x14ac:dyDescent="0.2"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</row>
    <row r="276" spans="2:16" x14ac:dyDescent="0.2"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</row>
    <row r="277" spans="2:16" x14ac:dyDescent="0.2"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</row>
    <row r="278" spans="2:16" x14ac:dyDescent="0.2"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</row>
    <row r="279" spans="2:16" x14ac:dyDescent="0.2"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</row>
    <row r="280" spans="2:16" x14ac:dyDescent="0.2"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</row>
    <row r="281" spans="2:16" x14ac:dyDescent="0.2"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</row>
    <row r="282" spans="2:16" x14ac:dyDescent="0.2"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</row>
    <row r="283" spans="2:16" x14ac:dyDescent="0.2"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</row>
    <row r="284" spans="2:16" x14ac:dyDescent="0.2"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</row>
    <row r="285" spans="2:16" x14ac:dyDescent="0.2"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</row>
    <row r="286" spans="2:16" x14ac:dyDescent="0.2"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</row>
    <row r="287" spans="2:16" x14ac:dyDescent="0.2"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</row>
    <row r="288" spans="2:16" x14ac:dyDescent="0.2"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</row>
    <row r="289" spans="2:16" x14ac:dyDescent="0.2"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</row>
    <row r="290" spans="2:16" x14ac:dyDescent="0.2"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</row>
    <row r="291" spans="2:16" x14ac:dyDescent="0.2"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</row>
    <row r="292" spans="2:16" x14ac:dyDescent="0.2"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</row>
    <row r="293" spans="2:16" x14ac:dyDescent="0.2"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</row>
    <row r="294" spans="2:16" x14ac:dyDescent="0.2"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</row>
    <row r="295" spans="2:16" x14ac:dyDescent="0.2"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</row>
    <row r="296" spans="2:16" x14ac:dyDescent="0.2"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</row>
    <row r="297" spans="2:16" x14ac:dyDescent="0.2"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</row>
    <row r="298" spans="2:16" x14ac:dyDescent="0.2"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</row>
    <row r="299" spans="2:16" x14ac:dyDescent="0.2"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</row>
    <row r="300" spans="2:16" x14ac:dyDescent="0.2"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</row>
    <row r="301" spans="2:16" x14ac:dyDescent="0.2"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</row>
    <row r="302" spans="2:16" x14ac:dyDescent="0.2"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</row>
    <row r="303" spans="2:16" x14ac:dyDescent="0.2"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</row>
    <row r="304" spans="2:16" x14ac:dyDescent="0.2"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</row>
    <row r="305" spans="2:16" x14ac:dyDescent="0.2"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</row>
    <row r="306" spans="2:16" x14ac:dyDescent="0.2"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</row>
    <row r="307" spans="2:16" x14ac:dyDescent="0.2"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</row>
    <row r="308" spans="2:16" x14ac:dyDescent="0.2"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</row>
    <row r="309" spans="2:16" x14ac:dyDescent="0.2"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</row>
    <row r="310" spans="2:16" x14ac:dyDescent="0.2"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</row>
    <row r="311" spans="2:16" x14ac:dyDescent="0.2"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</row>
    <row r="312" spans="2:16" x14ac:dyDescent="0.2"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</row>
    <row r="313" spans="2:16" x14ac:dyDescent="0.2"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</row>
    <row r="314" spans="2:16" x14ac:dyDescent="0.2"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</row>
    <row r="315" spans="2:16" x14ac:dyDescent="0.2"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</row>
    <row r="316" spans="2:16" x14ac:dyDescent="0.2"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</row>
    <row r="317" spans="2:16" x14ac:dyDescent="0.2"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</row>
    <row r="318" spans="2:16" x14ac:dyDescent="0.2"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</row>
    <row r="319" spans="2:16" x14ac:dyDescent="0.2"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</row>
    <row r="320" spans="2:16" x14ac:dyDescent="0.2"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</row>
    <row r="321" spans="2:16" x14ac:dyDescent="0.2"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</row>
    <row r="322" spans="2:16" x14ac:dyDescent="0.2"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</row>
    <row r="323" spans="2:16" x14ac:dyDescent="0.2"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</row>
    <row r="324" spans="2:16" x14ac:dyDescent="0.2"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</row>
    <row r="325" spans="2:16" x14ac:dyDescent="0.2"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</row>
    <row r="326" spans="2:16" x14ac:dyDescent="0.2"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</row>
    <row r="327" spans="2:16" x14ac:dyDescent="0.2"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</row>
    <row r="328" spans="2:16" x14ac:dyDescent="0.2"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</row>
    <row r="329" spans="2:16" x14ac:dyDescent="0.2"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</row>
    <row r="330" spans="2:16" x14ac:dyDescent="0.2"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</row>
    <row r="331" spans="2:16" x14ac:dyDescent="0.2"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</row>
    <row r="332" spans="2:16" x14ac:dyDescent="0.2"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</row>
    <row r="333" spans="2:16" x14ac:dyDescent="0.2"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</row>
    <row r="334" spans="2:16" x14ac:dyDescent="0.2"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</row>
    <row r="335" spans="2:16" x14ac:dyDescent="0.2"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</row>
    <row r="336" spans="2:16" x14ac:dyDescent="0.2"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</row>
    <row r="337" spans="2:16" x14ac:dyDescent="0.2"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</row>
    <row r="338" spans="2:16" x14ac:dyDescent="0.2"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</row>
    <row r="339" spans="2:16" x14ac:dyDescent="0.2"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</row>
    <row r="340" spans="2:16" x14ac:dyDescent="0.2"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</row>
    <row r="341" spans="2:16" x14ac:dyDescent="0.2"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</row>
    <row r="342" spans="2:16" x14ac:dyDescent="0.2"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</row>
    <row r="343" spans="2:16" x14ac:dyDescent="0.2"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</row>
    <row r="344" spans="2:16" x14ac:dyDescent="0.2"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</row>
    <row r="345" spans="2:16" x14ac:dyDescent="0.2"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</row>
    <row r="346" spans="2:16" x14ac:dyDescent="0.2"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</row>
    <row r="347" spans="2:16" x14ac:dyDescent="0.2"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</row>
    <row r="348" spans="2:16" x14ac:dyDescent="0.2"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</row>
    <row r="349" spans="2:16" x14ac:dyDescent="0.2"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</row>
    <row r="350" spans="2:16" x14ac:dyDescent="0.2"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</row>
    <row r="351" spans="2:16" x14ac:dyDescent="0.2"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</row>
    <row r="352" spans="2:16" x14ac:dyDescent="0.2"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</row>
    <row r="353" spans="2:16" x14ac:dyDescent="0.2"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</row>
    <row r="354" spans="2:16" x14ac:dyDescent="0.2"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</row>
    <row r="355" spans="2:16" x14ac:dyDescent="0.2"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</row>
    <row r="356" spans="2:16" x14ac:dyDescent="0.2"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</row>
    <row r="357" spans="2:16" x14ac:dyDescent="0.2"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</row>
    <row r="358" spans="2:16" x14ac:dyDescent="0.2"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</row>
    <row r="359" spans="2:16" x14ac:dyDescent="0.2"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</row>
    <row r="360" spans="2:16" x14ac:dyDescent="0.2"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</row>
    <row r="361" spans="2:16" x14ac:dyDescent="0.2"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</row>
    <row r="362" spans="2:16" x14ac:dyDescent="0.2"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</row>
    <row r="363" spans="2:16" x14ac:dyDescent="0.2"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</row>
    <row r="364" spans="2:16" x14ac:dyDescent="0.2"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</row>
    <row r="365" spans="2:16" x14ac:dyDescent="0.2"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</row>
    <row r="366" spans="2:16" x14ac:dyDescent="0.2"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</row>
    <row r="367" spans="2:16" x14ac:dyDescent="0.2"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</row>
    <row r="368" spans="2:16" x14ac:dyDescent="0.2"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</row>
    <row r="369" spans="2:16" x14ac:dyDescent="0.2"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</row>
    <row r="370" spans="2:16" x14ac:dyDescent="0.2"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</row>
    <row r="371" spans="2:16" x14ac:dyDescent="0.2"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</row>
    <row r="372" spans="2:16" x14ac:dyDescent="0.2"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</row>
    <row r="373" spans="2:16" x14ac:dyDescent="0.2"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</row>
    <row r="374" spans="2:16" x14ac:dyDescent="0.2"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</row>
    <row r="375" spans="2:16" x14ac:dyDescent="0.2"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</row>
    <row r="376" spans="2:16" x14ac:dyDescent="0.2"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</row>
    <row r="377" spans="2:16" x14ac:dyDescent="0.2"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</row>
    <row r="378" spans="2:16" x14ac:dyDescent="0.2"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</row>
    <row r="379" spans="2:16" x14ac:dyDescent="0.2"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</row>
    <row r="380" spans="2:16" x14ac:dyDescent="0.2"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</row>
    <row r="381" spans="2:16" x14ac:dyDescent="0.2"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</row>
    <row r="382" spans="2:16" x14ac:dyDescent="0.2"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</row>
    <row r="383" spans="2:16" x14ac:dyDescent="0.2"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</row>
    <row r="384" spans="2:16" x14ac:dyDescent="0.2"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</row>
    <row r="385" spans="2:16" x14ac:dyDescent="0.2"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</row>
    <row r="386" spans="2:16" x14ac:dyDescent="0.2"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</row>
    <row r="387" spans="2:16" x14ac:dyDescent="0.2"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</row>
    <row r="388" spans="2:16" x14ac:dyDescent="0.2"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</row>
    <row r="389" spans="2:16" x14ac:dyDescent="0.2"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</row>
    <row r="390" spans="2:16" x14ac:dyDescent="0.2"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</row>
    <row r="391" spans="2:16" x14ac:dyDescent="0.2"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</row>
    <row r="392" spans="2:16" x14ac:dyDescent="0.2"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</row>
    <row r="393" spans="2:16" x14ac:dyDescent="0.2"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</row>
    <row r="394" spans="2:16" x14ac:dyDescent="0.2"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</row>
    <row r="395" spans="2:16" x14ac:dyDescent="0.2"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</row>
    <row r="396" spans="2:16" x14ac:dyDescent="0.2"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</row>
    <row r="397" spans="2:16" x14ac:dyDescent="0.2"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</row>
    <row r="398" spans="2:16" x14ac:dyDescent="0.2"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</row>
    <row r="399" spans="2:16" x14ac:dyDescent="0.2"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</row>
    <row r="400" spans="2:16" x14ac:dyDescent="0.2"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</row>
    <row r="401" spans="2:16" x14ac:dyDescent="0.2"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</row>
    <row r="402" spans="2:16" x14ac:dyDescent="0.2"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</row>
    <row r="403" spans="2:16" x14ac:dyDescent="0.2"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</row>
    <row r="404" spans="2:16" x14ac:dyDescent="0.2"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</row>
    <row r="405" spans="2:16" x14ac:dyDescent="0.2"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</row>
    <row r="406" spans="2:16" x14ac:dyDescent="0.2"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</row>
    <row r="407" spans="2:16" x14ac:dyDescent="0.2"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</row>
    <row r="408" spans="2:16" x14ac:dyDescent="0.2"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</row>
    <row r="409" spans="2:16" x14ac:dyDescent="0.2"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</row>
    <row r="410" spans="2:16" x14ac:dyDescent="0.2"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</row>
    <row r="411" spans="2:16" x14ac:dyDescent="0.2"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</row>
    <row r="412" spans="2:16" x14ac:dyDescent="0.2"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</row>
    <row r="413" spans="2:16" x14ac:dyDescent="0.2"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</row>
    <row r="414" spans="2:16" x14ac:dyDescent="0.2"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</row>
    <row r="415" spans="2:16" x14ac:dyDescent="0.2"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</row>
    <row r="416" spans="2:16" x14ac:dyDescent="0.2"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</row>
    <row r="417" spans="2:16" x14ac:dyDescent="0.2"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</row>
    <row r="418" spans="2:16" x14ac:dyDescent="0.2"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</row>
    <row r="419" spans="2:16" x14ac:dyDescent="0.2"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</row>
    <row r="420" spans="2:16" x14ac:dyDescent="0.2"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</row>
    <row r="421" spans="2:16" x14ac:dyDescent="0.2"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</row>
    <row r="422" spans="2:16" x14ac:dyDescent="0.2"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</row>
    <row r="423" spans="2:16" x14ac:dyDescent="0.2"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</row>
    <row r="424" spans="2:16" x14ac:dyDescent="0.2"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</row>
    <row r="425" spans="2:16" x14ac:dyDescent="0.2"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</row>
    <row r="426" spans="2:16" x14ac:dyDescent="0.2"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</row>
    <row r="427" spans="2:16" x14ac:dyDescent="0.2"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</row>
    <row r="428" spans="2:16" x14ac:dyDescent="0.2"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</row>
    <row r="429" spans="2:16" x14ac:dyDescent="0.2"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</row>
    <row r="430" spans="2:16" x14ac:dyDescent="0.2"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</row>
    <row r="431" spans="2:16" x14ac:dyDescent="0.2"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</row>
    <row r="432" spans="2:16" x14ac:dyDescent="0.2"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</row>
    <row r="433" spans="2:16" x14ac:dyDescent="0.2"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</row>
    <row r="434" spans="2:16" x14ac:dyDescent="0.2"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</row>
    <row r="435" spans="2:16" x14ac:dyDescent="0.2"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</row>
    <row r="436" spans="2:16" x14ac:dyDescent="0.2"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</row>
    <row r="437" spans="2:16" x14ac:dyDescent="0.2"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</row>
    <row r="438" spans="2:16" x14ac:dyDescent="0.2"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</row>
    <row r="439" spans="2:16" x14ac:dyDescent="0.2"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</row>
    <row r="440" spans="2:16" x14ac:dyDescent="0.2"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</row>
    <row r="441" spans="2:16" x14ac:dyDescent="0.2"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</row>
    <row r="442" spans="2:16" x14ac:dyDescent="0.2"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</row>
    <row r="443" spans="2:16" x14ac:dyDescent="0.2"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</row>
    <row r="444" spans="2:16" x14ac:dyDescent="0.2"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</row>
    <row r="445" spans="2:16" x14ac:dyDescent="0.2"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</row>
    <row r="446" spans="2:16" x14ac:dyDescent="0.2"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</row>
    <row r="447" spans="2:16" x14ac:dyDescent="0.2"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</row>
    <row r="448" spans="2:16" x14ac:dyDescent="0.2"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</row>
    <row r="449" spans="2:16" x14ac:dyDescent="0.2"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</row>
    <row r="450" spans="2:16" x14ac:dyDescent="0.2"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</row>
    <row r="451" spans="2:16" x14ac:dyDescent="0.2"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</row>
    <row r="452" spans="2:16" x14ac:dyDescent="0.2"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</row>
    <row r="453" spans="2:16" x14ac:dyDescent="0.2"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</row>
    <row r="454" spans="2:16" x14ac:dyDescent="0.2"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</row>
    <row r="455" spans="2:16" x14ac:dyDescent="0.2"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</row>
    <row r="456" spans="2:16" x14ac:dyDescent="0.2"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</row>
    <row r="457" spans="2:16" x14ac:dyDescent="0.2"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</row>
    <row r="458" spans="2:16" x14ac:dyDescent="0.2"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</row>
    <row r="459" spans="2:16" x14ac:dyDescent="0.2"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</row>
    <row r="460" spans="2:16" x14ac:dyDescent="0.2"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</row>
    <row r="461" spans="2:16" x14ac:dyDescent="0.2"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</row>
    <row r="462" spans="2:16" x14ac:dyDescent="0.2"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</row>
    <row r="463" spans="2:16" x14ac:dyDescent="0.2"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</row>
    <row r="464" spans="2:16" x14ac:dyDescent="0.2"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</row>
    <row r="465" spans="2:16" x14ac:dyDescent="0.2"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</row>
    <row r="466" spans="2:16" x14ac:dyDescent="0.2"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</row>
    <row r="467" spans="2:16" x14ac:dyDescent="0.2"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</row>
    <row r="468" spans="2:16" x14ac:dyDescent="0.2"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</row>
    <row r="469" spans="2:16" x14ac:dyDescent="0.2"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</row>
    <row r="470" spans="2:16" x14ac:dyDescent="0.2"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</row>
    <row r="471" spans="2:16" x14ac:dyDescent="0.2"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</row>
    <row r="472" spans="2:16" x14ac:dyDescent="0.2"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</row>
    <row r="473" spans="2:16" x14ac:dyDescent="0.2"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</row>
    <row r="474" spans="2:16" x14ac:dyDescent="0.2"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</row>
    <row r="475" spans="2:16" x14ac:dyDescent="0.2"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</row>
    <row r="476" spans="2:16" x14ac:dyDescent="0.2"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</row>
    <row r="477" spans="2:16" x14ac:dyDescent="0.2"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</row>
    <row r="478" spans="2:16" x14ac:dyDescent="0.2"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</row>
    <row r="479" spans="2:16" x14ac:dyDescent="0.2"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</row>
    <row r="480" spans="2:16" x14ac:dyDescent="0.2"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</row>
    <row r="481" spans="2:16" x14ac:dyDescent="0.2"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</row>
    <row r="482" spans="2:16" x14ac:dyDescent="0.2"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</row>
    <row r="483" spans="2:16" x14ac:dyDescent="0.2"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</row>
    <row r="484" spans="2:16" x14ac:dyDescent="0.2"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</row>
    <row r="485" spans="2:16" x14ac:dyDescent="0.2"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</row>
    <row r="486" spans="2:16" x14ac:dyDescent="0.2"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</row>
    <row r="487" spans="2:16" x14ac:dyDescent="0.2"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</row>
    <row r="488" spans="2:16" x14ac:dyDescent="0.2"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</row>
    <row r="489" spans="2:16" x14ac:dyDescent="0.2"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</row>
    <row r="490" spans="2:16" x14ac:dyDescent="0.2"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</row>
    <row r="491" spans="2:16" x14ac:dyDescent="0.2"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</row>
    <row r="492" spans="2:16" x14ac:dyDescent="0.2"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</row>
    <row r="493" spans="2:16" x14ac:dyDescent="0.2"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</row>
    <row r="494" spans="2:16" x14ac:dyDescent="0.2"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</row>
    <row r="495" spans="2:16" x14ac:dyDescent="0.2"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</row>
    <row r="496" spans="2:16" x14ac:dyDescent="0.2"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</row>
    <row r="497" spans="2:16" x14ac:dyDescent="0.2"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</row>
    <row r="498" spans="2:16" x14ac:dyDescent="0.2"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</row>
    <row r="499" spans="2:16" x14ac:dyDescent="0.2"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</row>
    <row r="500" spans="2:16" x14ac:dyDescent="0.2"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</row>
    <row r="501" spans="2:16" x14ac:dyDescent="0.2"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</row>
    <row r="502" spans="2:16" x14ac:dyDescent="0.2"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</row>
    <row r="503" spans="2:16" x14ac:dyDescent="0.2"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</row>
    <row r="504" spans="2:16" x14ac:dyDescent="0.2"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</row>
    <row r="505" spans="2:16" x14ac:dyDescent="0.2"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</row>
    <row r="506" spans="2:16" x14ac:dyDescent="0.2"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</row>
    <row r="507" spans="2:16" x14ac:dyDescent="0.2"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</row>
    <row r="508" spans="2:16" x14ac:dyDescent="0.2"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</row>
    <row r="509" spans="2:16" x14ac:dyDescent="0.2"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</row>
    <row r="510" spans="2:16" x14ac:dyDescent="0.2"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</row>
    <row r="511" spans="2:16" x14ac:dyDescent="0.2"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</row>
    <row r="512" spans="2:16" x14ac:dyDescent="0.2"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</row>
    <row r="513" spans="2:16" x14ac:dyDescent="0.2"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</row>
    <row r="514" spans="2:16" x14ac:dyDescent="0.2"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</row>
    <row r="515" spans="2:16" x14ac:dyDescent="0.2"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</row>
    <row r="516" spans="2:16" x14ac:dyDescent="0.2"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</row>
    <row r="517" spans="2:16" x14ac:dyDescent="0.2"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</row>
    <row r="518" spans="2:16" x14ac:dyDescent="0.2"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</row>
    <row r="519" spans="2:16" x14ac:dyDescent="0.2"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</row>
    <row r="520" spans="2:16" x14ac:dyDescent="0.2"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</row>
    <row r="521" spans="2:16" x14ac:dyDescent="0.2"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</row>
    <row r="522" spans="2:16" x14ac:dyDescent="0.2"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</row>
    <row r="523" spans="2:16" x14ac:dyDescent="0.2"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</row>
    <row r="524" spans="2:16" x14ac:dyDescent="0.2"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</row>
    <row r="525" spans="2:16" x14ac:dyDescent="0.2"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</row>
    <row r="526" spans="2:16" x14ac:dyDescent="0.2"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</row>
    <row r="527" spans="2:16" x14ac:dyDescent="0.2"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</row>
    <row r="528" spans="2:16" x14ac:dyDescent="0.2"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</row>
    <row r="529" spans="2:16" x14ac:dyDescent="0.2"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</row>
    <row r="530" spans="2:16" x14ac:dyDescent="0.2"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</row>
    <row r="531" spans="2:16" x14ac:dyDescent="0.2"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</row>
    <row r="532" spans="2:16" x14ac:dyDescent="0.2"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</row>
    <row r="533" spans="2:16" x14ac:dyDescent="0.2"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</row>
    <row r="534" spans="2:16" x14ac:dyDescent="0.2"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</row>
    <row r="535" spans="2:16" x14ac:dyDescent="0.2"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</row>
    <row r="536" spans="2:16" x14ac:dyDescent="0.2"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</row>
    <row r="537" spans="2:16" x14ac:dyDescent="0.2"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</row>
    <row r="538" spans="2:16" x14ac:dyDescent="0.2"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</row>
    <row r="539" spans="2:16" x14ac:dyDescent="0.2"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</row>
    <row r="540" spans="2:16" x14ac:dyDescent="0.2"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</row>
    <row r="541" spans="2:16" x14ac:dyDescent="0.2"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</row>
    <row r="542" spans="2:16" x14ac:dyDescent="0.2"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</row>
    <row r="543" spans="2:16" x14ac:dyDescent="0.2"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</row>
    <row r="544" spans="2:16" x14ac:dyDescent="0.2"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</row>
    <row r="545" spans="2:16" x14ac:dyDescent="0.2"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</row>
    <row r="546" spans="2:16" x14ac:dyDescent="0.2"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</row>
    <row r="547" spans="2:16" x14ac:dyDescent="0.2"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</row>
    <row r="548" spans="2:16" x14ac:dyDescent="0.2"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</row>
    <row r="549" spans="2:16" x14ac:dyDescent="0.2"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</row>
    <row r="550" spans="2:16" x14ac:dyDescent="0.2"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</row>
    <row r="551" spans="2:16" x14ac:dyDescent="0.2"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</row>
    <row r="552" spans="2:16" x14ac:dyDescent="0.2"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</row>
    <row r="553" spans="2:16" x14ac:dyDescent="0.2"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</row>
    <row r="554" spans="2:16" x14ac:dyDescent="0.2"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</row>
    <row r="555" spans="2:16" x14ac:dyDescent="0.2"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</row>
    <row r="556" spans="2:16" x14ac:dyDescent="0.2"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</row>
    <row r="557" spans="2:16" x14ac:dyDescent="0.2"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</row>
    <row r="558" spans="2:16" x14ac:dyDescent="0.2"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</row>
    <row r="559" spans="2:16" x14ac:dyDescent="0.2"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</row>
    <row r="560" spans="2:16" x14ac:dyDescent="0.2"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</row>
    <row r="561" spans="2:16" x14ac:dyDescent="0.2"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</row>
    <row r="562" spans="2:16" x14ac:dyDescent="0.2"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</row>
    <row r="563" spans="2:16" x14ac:dyDescent="0.2"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</row>
    <row r="564" spans="2:16" x14ac:dyDescent="0.2"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</row>
    <row r="565" spans="2:16" x14ac:dyDescent="0.2"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</row>
    <row r="566" spans="2:16" x14ac:dyDescent="0.2"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</row>
    <row r="567" spans="2:16" x14ac:dyDescent="0.2"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</row>
    <row r="568" spans="2:16" x14ac:dyDescent="0.2"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</row>
    <row r="569" spans="2:16" x14ac:dyDescent="0.2"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</row>
    <row r="570" spans="2:16" x14ac:dyDescent="0.2"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</row>
    <row r="571" spans="2:16" x14ac:dyDescent="0.2"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</row>
    <row r="572" spans="2:16" x14ac:dyDescent="0.2"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</row>
    <row r="573" spans="2:16" x14ac:dyDescent="0.2"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</row>
    <row r="574" spans="2:16" x14ac:dyDescent="0.2"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</row>
    <row r="575" spans="2:16" x14ac:dyDescent="0.2"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</row>
    <row r="576" spans="2:16" x14ac:dyDescent="0.2"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</row>
    <row r="577" spans="2:16" x14ac:dyDescent="0.2"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</row>
    <row r="578" spans="2:16" x14ac:dyDescent="0.2"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</row>
    <row r="579" spans="2:16" x14ac:dyDescent="0.2"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</row>
    <row r="580" spans="2:16" x14ac:dyDescent="0.2"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</row>
    <row r="581" spans="2:16" x14ac:dyDescent="0.2"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</row>
    <row r="582" spans="2:16" x14ac:dyDescent="0.2"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</row>
    <row r="583" spans="2:16" x14ac:dyDescent="0.2"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</row>
    <row r="584" spans="2:16" x14ac:dyDescent="0.2"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</row>
    <row r="585" spans="2:16" x14ac:dyDescent="0.2"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</row>
    <row r="586" spans="2:16" x14ac:dyDescent="0.2"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</row>
    <row r="587" spans="2:16" x14ac:dyDescent="0.2"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</row>
    <row r="588" spans="2:16" x14ac:dyDescent="0.2"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</row>
    <row r="589" spans="2:16" x14ac:dyDescent="0.2"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</row>
    <row r="590" spans="2:16" x14ac:dyDescent="0.2"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</row>
    <row r="591" spans="2:16" x14ac:dyDescent="0.2"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</row>
    <row r="592" spans="2:16" x14ac:dyDescent="0.2"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</row>
    <row r="593" spans="2:16" x14ac:dyDescent="0.2"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</row>
    <row r="594" spans="2:16" x14ac:dyDescent="0.2"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</row>
    <row r="595" spans="2:16" x14ac:dyDescent="0.2"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</row>
    <row r="596" spans="2:16" x14ac:dyDescent="0.2"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</row>
    <row r="597" spans="2:16" x14ac:dyDescent="0.2"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</row>
    <row r="598" spans="2:16" x14ac:dyDescent="0.2"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</row>
    <row r="599" spans="2:16" x14ac:dyDescent="0.2"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</row>
    <row r="600" spans="2:16" x14ac:dyDescent="0.2"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</row>
    <row r="601" spans="2:16" x14ac:dyDescent="0.2"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</row>
    <row r="602" spans="2:16" x14ac:dyDescent="0.2"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</row>
    <row r="603" spans="2:16" x14ac:dyDescent="0.2"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</row>
    <row r="604" spans="2:16" x14ac:dyDescent="0.2"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</row>
    <row r="605" spans="2:16" x14ac:dyDescent="0.2"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</row>
    <row r="606" spans="2:16" x14ac:dyDescent="0.2"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</row>
    <row r="607" spans="2:16" x14ac:dyDescent="0.2"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</row>
    <row r="608" spans="2:16" x14ac:dyDescent="0.2"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</row>
    <row r="609" spans="2:16" x14ac:dyDescent="0.2"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</row>
    <row r="610" spans="2:16" x14ac:dyDescent="0.2"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</row>
    <row r="611" spans="2:16" x14ac:dyDescent="0.2"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</row>
    <row r="612" spans="2:16" x14ac:dyDescent="0.2"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</row>
    <row r="613" spans="2:16" x14ac:dyDescent="0.2"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</row>
    <row r="614" spans="2:16" x14ac:dyDescent="0.2"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</row>
    <row r="615" spans="2:16" x14ac:dyDescent="0.2"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</row>
    <row r="616" spans="2:16" x14ac:dyDescent="0.2"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</row>
    <row r="617" spans="2:16" x14ac:dyDescent="0.2"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</row>
    <row r="618" spans="2:16" x14ac:dyDescent="0.2"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</row>
    <row r="619" spans="2:16" x14ac:dyDescent="0.2"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</row>
    <row r="620" spans="2:16" x14ac:dyDescent="0.2"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</row>
    <row r="621" spans="2:16" x14ac:dyDescent="0.2"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</row>
    <row r="622" spans="2:16" x14ac:dyDescent="0.2"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</row>
    <row r="623" spans="2:16" x14ac:dyDescent="0.2"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</row>
    <row r="624" spans="2:16" x14ac:dyDescent="0.2"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</row>
    <row r="625" spans="2:16" x14ac:dyDescent="0.2"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</row>
    <row r="626" spans="2:16" x14ac:dyDescent="0.2"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</row>
    <row r="627" spans="2:16" x14ac:dyDescent="0.2"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</row>
    <row r="628" spans="2:16" x14ac:dyDescent="0.2"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</row>
    <row r="629" spans="2:16" x14ac:dyDescent="0.2"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</row>
    <row r="630" spans="2:16" x14ac:dyDescent="0.2"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</row>
    <row r="631" spans="2:16" x14ac:dyDescent="0.2"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</row>
    <row r="632" spans="2:16" x14ac:dyDescent="0.2"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</row>
    <row r="633" spans="2:16" x14ac:dyDescent="0.2"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</row>
    <row r="634" spans="2:16" x14ac:dyDescent="0.2"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</row>
    <row r="635" spans="2:16" x14ac:dyDescent="0.2"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</row>
    <row r="636" spans="2:16" x14ac:dyDescent="0.2"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</row>
    <row r="637" spans="2:16" x14ac:dyDescent="0.2"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</row>
    <row r="638" spans="2:16" x14ac:dyDescent="0.2"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</row>
    <row r="639" spans="2:16" x14ac:dyDescent="0.2"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</row>
    <row r="640" spans="2:16" x14ac:dyDescent="0.2"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</row>
    <row r="641" spans="2:16" x14ac:dyDescent="0.2"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</row>
    <row r="642" spans="2:16" x14ac:dyDescent="0.2"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</row>
    <row r="643" spans="2:16" x14ac:dyDescent="0.2"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</row>
    <row r="644" spans="2:16" x14ac:dyDescent="0.2"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</row>
    <row r="645" spans="2:16" x14ac:dyDescent="0.2"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</row>
    <row r="646" spans="2:16" x14ac:dyDescent="0.2"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</row>
    <row r="647" spans="2:16" x14ac:dyDescent="0.2"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</row>
    <row r="648" spans="2:16" x14ac:dyDescent="0.2"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</row>
    <row r="649" spans="2:16" x14ac:dyDescent="0.2"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</row>
    <row r="650" spans="2:16" x14ac:dyDescent="0.2"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</row>
    <row r="651" spans="2:16" x14ac:dyDescent="0.2"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</row>
    <row r="652" spans="2:16" x14ac:dyDescent="0.2"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</row>
    <row r="653" spans="2:16" x14ac:dyDescent="0.2"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</row>
    <row r="654" spans="2:16" x14ac:dyDescent="0.2"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</row>
    <row r="655" spans="2:16" x14ac:dyDescent="0.2"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</row>
    <row r="656" spans="2:16" x14ac:dyDescent="0.2"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</row>
    <row r="657" spans="2:16" x14ac:dyDescent="0.2"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</row>
    <row r="658" spans="2:16" x14ac:dyDescent="0.2"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</row>
    <row r="659" spans="2:16" x14ac:dyDescent="0.2"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</row>
    <row r="660" spans="2:16" x14ac:dyDescent="0.2"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</row>
    <row r="661" spans="2:16" x14ac:dyDescent="0.2"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</row>
    <row r="662" spans="2:16" x14ac:dyDescent="0.2"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</row>
    <row r="663" spans="2:16" x14ac:dyDescent="0.2"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</row>
    <row r="664" spans="2:16" x14ac:dyDescent="0.2"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</row>
    <row r="665" spans="2:16" x14ac:dyDescent="0.2"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</row>
    <row r="666" spans="2:16" x14ac:dyDescent="0.2"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</row>
    <row r="667" spans="2:16" x14ac:dyDescent="0.2"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</row>
    <row r="668" spans="2:16" x14ac:dyDescent="0.2"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</row>
    <row r="669" spans="2:16" x14ac:dyDescent="0.2"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</row>
    <row r="670" spans="2:16" x14ac:dyDescent="0.2"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</row>
    <row r="671" spans="2:16" x14ac:dyDescent="0.2"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</row>
    <row r="672" spans="2:16" x14ac:dyDescent="0.2"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</row>
    <row r="673" spans="2:16" x14ac:dyDescent="0.2"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</row>
    <row r="674" spans="2:16" x14ac:dyDescent="0.2"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</row>
    <row r="675" spans="2:16" x14ac:dyDescent="0.2"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</row>
    <row r="676" spans="2:16" x14ac:dyDescent="0.2"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</row>
    <row r="677" spans="2:16" x14ac:dyDescent="0.2"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</row>
    <row r="678" spans="2:16" x14ac:dyDescent="0.2"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</row>
    <row r="679" spans="2:16" x14ac:dyDescent="0.2"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</row>
    <row r="680" spans="2:16" x14ac:dyDescent="0.2"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</row>
    <row r="681" spans="2:16" x14ac:dyDescent="0.2"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</row>
    <row r="682" spans="2:16" x14ac:dyDescent="0.2"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</row>
    <row r="683" spans="2:16" x14ac:dyDescent="0.2"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</row>
    <row r="684" spans="2:16" x14ac:dyDescent="0.2"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</row>
    <row r="685" spans="2:16" x14ac:dyDescent="0.2"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</row>
    <row r="686" spans="2:16" x14ac:dyDescent="0.2"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</row>
    <row r="687" spans="2:16" x14ac:dyDescent="0.2"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</row>
    <row r="688" spans="2:16" x14ac:dyDescent="0.2"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</row>
    <row r="689" spans="2:16" x14ac:dyDescent="0.2"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</row>
    <row r="690" spans="2:16" x14ac:dyDescent="0.2"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</row>
    <row r="691" spans="2:16" x14ac:dyDescent="0.2"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</row>
    <row r="692" spans="2:16" x14ac:dyDescent="0.2"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</row>
    <row r="693" spans="2:16" x14ac:dyDescent="0.2"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</row>
    <row r="694" spans="2:16" x14ac:dyDescent="0.2"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</row>
    <row r="695" spans="2:16" x14ac:dyDescent="0.2"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</row>
    <row r="696" spans="2:16" x14ac:dyDescent="0.2"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</row>
    <row r="697" spans="2:16" x14ac:dyDescent="0.2"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</row>
    <row r="698" spans="2:16" x14ac:dyDescent="0.2"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</row>
    <row r="699" spans="2:16" x14ac:dyDescent="0.2"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</row>
    <row r="700" spans="2:16" x14ac:dyDescent="0.2"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</row>
    <row r="701" spans="2:16" x14ac:dyDescent="0.2"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</row>
    <row r="702" spans="2:16" x14ac:dyDescent="0.2"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</row>
    <row r="703" spans="2:16" x14ac:dyDescent="0.2"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</row>
    <row r="704" spans="2:16" x14ac:dyDescent="0.2"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</row>
    <row r="705" spans="2:16" x14ac:dyDescent="0.2"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</row>
    <row r="706" spans="2:16" x14ac:dyDescent="0.2"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</row>
    <row r="707" spans="2:16" x14ac:dyDescent="0.2"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</row>
    <row r="708" spans="2:16" x14ac:dyDescent="0.2"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</row>
    <row r="709" spans="2:16" x14ac:dyDescent="0.2"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</row>
    <row r="710" spans="2:16" x14ac:dyDescent="0.2"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</row>
    <row r="711" spans="2:16" x14ac:dyDescent="0.2"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</row>
    <row r="712" spans="2:16" x14ac:dyDescent="0.2"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</row>
    <row r="713" spans="2:16" x14ac:dyDescent="0.2"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</row>
    <row r="714" spans="2:16" x14ac:dyDescent="0.2"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</row>
    <row r="715" spans="2:16" x14ac:dyDescent="0.2"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</row>
    <row r="716" spans="2:16" x14ac:dyDescent="0.2"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</row>
    <row r="717" spans="2:16" x14ac:dyDescent="0.2"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</row>
    <row r="718" spans="2:16" x14ac:dyDescent="0.2"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</row>
    <row r="719" spans="2:16" x14ac:dyDescent="0.2"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</row>
    <row r="720" spans="2:16" x14ac:dyDescent="0.2"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</row>
    <row r="721" spans="2:16" x14ac:dyDescent="0.2"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</row>
    <row r="722" spans="2:16" x14ac:dyDescent="0.2"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</row>
    <row r="723" spans="2:16" x14ac:dyDescent="0.2"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</row>
    <row r="724" spans="2:16" x14ac:dyDescent="0.2"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</row>
    <row r="725" spans="2:16" x14ac:dyDescent="0.2"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</row>
    <row r="726" spans="2:16" x14ac:dyDescent="0.2"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</row>
    <row r="727" spans="2:16" x14ac:dyDescent="0.2"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</row>
    <row r="728" spans="2:16" x14ac:dyDescent="0.2"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</row>
    <row r="729" spans="2:16" x14ac:dyDescent="0.2"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</row>
    <row r="730" spans="2:16" x14ac:dyDescent="0.2"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</row>
    <row r="731" spans="2:16" x14ac:dyDescent="0.2"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</row>
    <row r="732" spans="2:16" x14ac:dyDescent="0.2"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</row>
    <row r="733" spans="2:16" x14ac:dyDescent="0.2"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</row>
    <row r="734" spans="2:16" x14ac:dyDescent="0.2"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</row>
    <row r="735" spans="2:16" x14ac:dyDescent="0.2"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</row>
    <row r="736" spans="2:16" x14ac:dyDescent="0.2"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</row>
    <row r="737" spans="2:16" x14ac:dyDescent="0.2"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</row>
    <row r="738" spans="2:16" x14ac:dyDescent="0.2"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</row>
    <row r="739" spans="2:16" x14ac:dyDescent="0.2"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</row>
    <row r="740" spans="2:16" x14ac:dyDescent="0.2"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</row>
    <row r="741" spans="2:16" x14ac:dyDescent="0.2"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</row>
    <row r="742" spans="2:16" x14ac:dyDescent="0.2"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</row>
    <row r="743" spans="2:16" x14ac:dyDescent="0.2"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</row>
    <row r="744" spans="2:16" x14ac:dyDescent="0.2"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</row>
    <row r="745" spans="2:16" x14ac:dyDescent="0.2"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</row>
    <row r="746" spans="2:16" x14ac:dyDescent="0.2"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</row>
    <row r="747" spans="2:16" x14ac:dyDescent="0.2"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</row>
    <row r="748" spans="2:16" x14ac:dyDescent="0.2"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</row>
    <row r="749" spans="2:16" x14ac:dyDescent="0.2"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</row>
    <row r="750" spans="2:16" x14ac:dyDescent="0.2"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</row>
    <row r="751" spans="2:16" x14ac:dyDescent="0.2"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</row>
    <row r="752" spans="2:16" x14ac:dyDescent="0.2"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</row>
    <row r="753" spans="2:16" x14ac:dyDescent="0.2"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</row>
    <row r="754" spans="2:16" x14ac:dyDescent="0.2"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</row>
    <row r="755" spans="2:16" x14ac:dyDescent="0.2"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</row>
    <row r="756" spans="2:16" x14ac:dyDescent="0.2"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</row>
    <row r="757" spans="2:16" x14ac:dyDescent="0.2"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</row>
    <row r="758" spans="2:16" x14ac:dyDescent="0.2"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</row>
    <row r="759" spans="2:16" x14ac:dyDescent="0.2"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</row>
    <row r="760" spans="2:16" x14ac:dyDescent="0.2"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</row>
    <row r="761" spans="2:16" x14ac:dyDescent="0.2"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</row>
    <row r="762" spans="2:16" x14ac:dyDescent="0.2"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</row>
    <row r="763" spans="2:16" x14ac:dyDescent="0.2"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</row>
    <row r="764" spans="2:16" x14ac:dyDescent="0.2"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</row>
    <row r="765" spans="2:16" x14ac:dyDescent="0.2"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</row>
    <row r="766" spans="2:16" x14ac:dyDescent="0.2"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</row>
    <row r="767" spans="2:16" x14ac:dyDescent="0.2"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</row>
    <row r="768" spans="2:16" x14ac:dyDescent="0.2"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</row>
    <row r="769" spans="2:16" x14ac:dyDescent="0.2"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</row>
    <row r="770" spans="2:16" x14ac:dyDescent="0.2"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</row>
    <row r="771" spans="2:16" x14ac:dyDescent="0.2"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</row>
    <row r="772" spans="2:16" x14ac:dyDescent="0.2"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</row>
    <row r="773" spans="2:16" x14ac:dyDescent="0.2"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</row>
    <row r="774" spans="2:16" x14ac:dyDescent="0.2"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</row>
    <row r="775" spans="2:16" x14ac:dyDescent="0.2"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</row>
    <row r="776" spans="2:16" x14ac:dyDescent="0.2"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</row>
    <row r="777" spans="2:16" x14ac:dyDescent="0.2"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</row>
    <row r="778" spans="2:16" x14ac:dyDescent="0.2"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</row>
    <row r="779" spans="2:16" x14ac:dyDescent="0.2"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</row>
    <row r="780" spans="2:16" x14ac:dyDescent="0.2"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</row>
    <row r="781" spans="2:16" x14ac:dyDescent="0.2"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</row>
    <row r="782" spans="2:16" x14ac:dyDescent="0.2"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</row>
    <row r="783" spans="2:16" x14ac:dyDescent="0.2"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</row>
    <row r="784" spans="2:16" x14ac:dyDescent="0.2"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</row>
    <row r="785" spans="2:16" x14ac:dyDescent="0.2"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</row>
    <row r="786" spans="2:16" x14ac:dyDescent="0.2"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</row>
    <row r="787" spans="2:16" x14ac:dyDescent="0.2"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</row>
    <row r="788" spans="2:16" x14ac:dyDescent="0.2"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</row>
    <row r="789" spans="2:16" x14ac:dyDescent="0.2"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</row>
    <row r="790" spans="2:16" x14ac:dyDescent="0.2"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</row>
    <row r="791" spans="2:16" x14ac:dyDescent="0.2"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</row>
    <row r="792" spans="2:16" x14ac:dyDescent="0.2"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</row>
    <row r="793" spans="2:16" x14ac:dyDescent="0.2"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</row>
    <row r="794" spans="2:16" x14ac:dyDescent="0.2"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</row>
    <row r="795" spans="2:16" x14ac:dyDescent="0.2"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</row>
    <row r="796" spans="2:16" x14ac:dyDescent="0.2"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</row>
    <row r="797" spans="2:16" x14ac:dyDescent="0.2"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</row>
    <row r="798" spans="2:16" x14ac:dyDescent="0.2"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</row>
    <row r="799" spans="2:16" x14ac:dyDescent="0.2"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</row>
    <row r="800" spans="2:16" x14ac:dyDescent="0.2"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</row>
    <row r="801" spans="2:16" x14ac:dyDescent="0.2"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</row>
    <row r="802" spans="2:16" x14ac:dyDescent="0.2"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</row>
    <row r="803" spans="2:16" x14ac:dyDescent="0.2"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</row>
    <row r="804" spans="2:16" x14ac:dyDescent="0.2"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</row>
    <row r="805" spans="2:16" x14ac:dyDescent="0.2"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</row>
    <row r="806" spans="2:16" x14ac:dyDescent="0.2"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</row>
    <row r="807" spans="2:16" x14ac:dyDescent="0.2"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</row>
    <row r="808" spans="2:16" x14ac:dyDescent="0.2"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</row>
    <row r="809" spans="2:16" x14ac:dyDescent="0.2"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</row>
    <row r="810" spans="2:16" x14ac:dyDescent="0.2"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</row>
    <row r="811" spans="2:16" x14ac:dyDescent="0.2"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</row>
    <row r="812" spans="2:16" x14ac:dyDescent="0.2"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</row>
    <row r="813" spans="2:16" x14ac:dyDescent="0.2"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</row>
    <row r="814" spans="2:16" x14ac:dyDescent="0.2"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</row>
    <row r="815" spans="2:16" x14ac:dyDescent="0.2"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</row>
    <row r="816" spans="2:16" x14ac:dyDescent="0.2"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</row>
    <row r="817" spans="2:16" x14ac:dyDescent="0.2"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</row>
    <row r="818" spans="2:16" x14ac:dyDescent="0.2"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</row>
    <row r="819" spans="2:16" x14ac:dyDescent="0.2"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</row>
    <row r="820" spans="2:16" x14ac:dyDescent="0.2"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</row>
    <row r="821" spans="2:16" x14ac:dyDescent="0.2"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</row>
    <row r="822" spans="2:16" x14ac:dyDescent="0.2"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</row>
    <row r="823" spans="2:16" x14ac:dyDescent="0.2"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</row>
    <row r="824" spans="2:16" x14ac:dyDescent="0.2"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</row>
    <row r="825" spans="2:16" x14ac:dyDescent="0.2"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</row>
    <row r="826" spans="2:16" x14ac:dyDescent="0.2"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</row>
    <row r="827" spans="2:16" x14ac:dyDescent="0.2"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</row>
    <row r="828" spans="2:16" x14ac:dyDescent="0.2"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</row>
    <row r="829" spans="2:16" x14ac:dyDescent="0.2"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</row>
    <row r="830" spans="2:16" x14ac:dyDescent="0.2"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</row>
    <row r="831" spans="2:16" x14ac:dyDescent="0.2"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</row>
    <row r="832" spans="2:16" x14ac:dyDescent="0.2"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</row>
    <row r="833" spans="2:16" x14ac:dyDescent="0.2"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</row>
    <row r="834" spans="2:16" x14ac:dyDescent="0.2"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</row>
    <row r="835" spans="2:16" x14ac:dyDescent="0.2"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</row>
    <row r="836" spans="2:16" x14ac:dyDescent="0.2"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</row>
    <row r="837" spans="2:16" x14ac:dyDescent="0.2"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</row>
    <row r="838" spans="2:16" x14ac:dyDescent="0.2"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</row>
    <row r="839" spans="2:16" x14ac:dyDescent="0.2"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</row>
    <row r="840" spans="2:16" x14ac:dyDescent="0.2"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</row>
    <row r="841" spans="2:16" x14ac:dyDescent="0.2"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</row>
    <row r="842" spans="2:16" x14ac:dyDescent="0.2"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</row>
    <row r="843" spans="2:16" x14ac:dyDescent="0.2"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</row>
    <row r="844" spans="2:16" x14ac:dyDescent="0.2"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</row>
    <row r="845" spans="2:16" x14ac:dyDescent="0.2"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</row>
    <row r="846" spans="2:16" x14ac:dyDescent="0.2"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</row>
    <row r="847" spans="2:16" x14ac:dyDescent="0.2"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</row>
    <row r="848" spans="2:16" x14ac:dyDescent="0.2"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</row>
    <row r="849" spans="2:16" x14ac:dyDescent="0.2"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</row>
    <row r="850" spans="2:16" x14ac:dyDescent="0.2"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</row>
    <row r="851" spans="2:16" x14ac:dyDescent="0.2"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</row>
    <row r="852" spans="2:16" x14ac:dyDescent="0.2"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</row>
    <row r="853" spans="2:16" x14ac:dyDescent="0.2"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</row>
    <row r="854" spans="2:16" x14ac:dyDescent="0.2"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</row>
    <row r="855" spans="2:16" x14ac:dyDescent="0.2"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</row>
    <row r="856" spans="2:16" x14ac:dyDescent="0.2"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</row>
    <row r="857" spans="2:16" x14ac:dyDescent="0.2"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</row>
    <row r="858" spans="2:16" x14ac:dyDescent="0.2"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</row>
    <row r="859" spans="2:16" x14ac:dyDescent="0.2"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</row>
    <row r="860" spans="2:16" x14ac:dyDescent="0.2"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</row>
    <row r="861" spans="2:16" x14ac:dyDescent="0.2"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</row>
    <row r="862" spans="2:16" x14ac:dyDescent="0.2"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</row>
    <row r="863" spans="2:16" x14ac:dyDescent="0.2"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</row>
    <row r="864" spans="2:16" x14ac:dyDescent="0.2"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</row>
    <row r="865" spans="2:16" x14ac:dyDescent="0.2"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</row>
    <row r="866" spans="2:16" x14ac:dyDescent="0.2"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</row>
    <row r="867" spans="2:16" x14ac:dyDescent="0.2"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</row>
    <row r="868" spans="2:16" x14ac:dyDescent="0.2"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</row>
    <row r="869" spans="2:16" x14ac:dyDescent="0.2"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</row>
    <row r="870" spans="2:16" x14ac:dyDescent="0.2"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</row>
    <row r="871" spans="2:16" x14ac:dyDescent="0.2"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</row>
    <row r="872" spans="2:16" x14ac:dyDescent="0.2"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</row>
    <row r="873" spans="2:16" x14ac:dyDescent="0.2"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</row>
    <row r="874" spans="2:16" x14ac:dyDescent="0.2"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</row>
    <row r="875" spans="2:16" x14ac:dyDescent="0.2"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</row>
    <row r="876" spans="2:16" x14ac:dyDescent="0.2"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</row>
    <row r="877" spans="2:16" x14ac:dyDescent="0.2"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</row>
    <row r="878" spans="2:16" x14ac:dyDescent="0.2"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</row>
    <row r="879" spans="2:16" x14ac:dyDescent="0.2"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</row>
    <row r="880" spans="2:16" x14ac:dyDescent="0.2"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</row>
    <row r="881" spans="2:16" x14ac:dyDescent="0.2"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</row>
    <row r="882" spans="2:16" x14ac:dyDescent="0.2"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</row>
    <row r="883" spans="2:16" x14ac:dyDescent="0.2"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</row>
    <row r="884" spans="2:16" x14ac:dyDescent="0.2"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</row>
    <row r="885" spans="2:16" x14ac:dyDescent="0.2"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</row>
    <row r="886" spans="2:16" x14ac:dyDescent="0.2"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</row>
    <row r="887" spans="2:16" x14ac:dyDescent="0.2"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</row>
    <row r="888" spans="2:16" x14ac:dyDescent="0.2"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</row>
    <row r="889" spans="2:16" x14ac:dyDescent="0.2"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</row>
    <row r="890" spans="2:16" x14ac:dyDescent="0.2"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</row>
    <row r="891" spans="2:16" x14ac:dyDescent="0.2"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</row>
    <row r="892" spans="2:16" x14ac:dyDescent="0.2"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</row>
    <row r="893" spans="2:16" x14ac:dyDescent="0.2"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</row>
    <row r="894" spans="2:16" x14ac:dyDescent="0.2"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</row>
    <row r="895" spans="2:16" x14ac:dyDescent="0.2"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</row>
    <row r="896" spans="2:16" x14ac:dyDescent="0.2"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</row>
    <row r="897" spans="2:16" x14ac:dyDescent="0.2"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</row>
    <row r="898" spans="2:16" x14ac:dyDescent="0.2"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</row>
    <row r="899" spans="2:16" x14ac:dyDescent="0.2"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</row>
    <row r="900" spans="2:16" x14ac:dyDescent="0.2"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</row>
    <row r="901" spans="2:16" x14ac:dyDescent="0.2"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</row>
    <row r="902" spans="2:16" x14ac:dyDescent="0.2"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</row>
    <row r="903" spans="2:16" x14ac:dyDescent="0.2"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</row>
    <row r="904" spans="2:16" x14ac:dyDescent="0.2"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</row>
    <row r="905" spans="2:16" x14ac:dyDescent="0.2"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</row>
    <row r="906" spans="2:16" x14ac:dyDescent="0.2"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</row>
    <row r="907" spans="2:16" x14ac:dyDescent="0.2"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</row>
    <row r="908" spans="2:16" x14ac:dyDescent="0.2"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</row>
    <row r="909" spans="2:16" x14ac:dyDescent="0.2"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</row>
    <row r="910" spans="2:16" x14ac:dyDescent="0.2"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</row>
    <row r="911" spans="2:16" x14ac:dyDescent="0.2"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</row>
    <row r="912" spans="2:16" x14ac:dyDescent="0.2"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</row>
    <row r="913" spans="2:16" x14ac:dyDescent="0.2"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</row>
    <row r="914" spans="2:16" x14ac:dyDescent="0.2"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</row>
    <row r="915" spans="2:16" x14ac:dyDescent="0.2"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</row>
    <row r="916" spans="2:16" x14ac:dyDescent="0.2"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</row>
    <row r="917" spans="2:16" x14ac:dyDescent="0.2"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</row>
    <row r="918" spans="2:16" x14ac:dyDescent="0.2"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</row>
    <row r="919" spans="2:16" x14ac:dyDescent="0.2"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</row>
    <row r="920" spans="2:16" x14ac:dyDescent="0.2"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</row>
    <row r="921" spans="2:16" x14ac:dyDescent="0.2"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</row>
    <row r="922" spans="2:16" x14ac:dyDescent="0.2"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</row>
    <row r="923" spans="2:16" x14ac:dyDescent="0.2"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</row>
    <row r="924" spans="2:16" x14ac:dyDescent="0.2"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</row>
    <row r="925" spans="2:16" x14ac:dyDescent="0.2"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</row>
    <row r="926" spans="2:16" x14ac:dyDescent="0.2"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</row>
    <row r="927" spans="2:16" x14ac:dyDescent="0.2"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</row>
    <row r="928" spans="2:16" x14ac:dyDescent="0.2"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</row>
    <row r="929" spans="2:16" x14ac:dyDescent="0.2"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</row>
    <row r="930" spans="2:16" x14ac:dyDescent="0.2"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</row>
    <row r="931" spans="2:16" x14ac:dyDescent="0.2"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</row>
    <row r="932" spans="2:16" x14ac:dyDescent="0.2"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</row>
    <row r="933" spans="2:16" x14ac:dyDescent="0.2"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</row>
    <row r="934" spans="2:16" x14ac:dyDescent="0.2"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</row>
    <row r="935" spans="2:16" x14ac:dyDescent="0.2"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</row>
    <row r="936" spans="2:16" x14ac:dyDescent="0.2"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</row>
    <row r="937" spans="2:16" x14ac:dyDescent="0.2"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</row>
    <row r="938" spans="2:16" x14ac:dyDescent="0.2"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</row>
    <row r="939" spans="2:16" x14ac:dyDescent="0.2"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</row>
    <row r="940" spans="2:16" x14ac:dyDescent="0.2"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</row>
    <row r="941" spans="2:16" x14ac:dyDescent="0.2"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</row>
    <row r="942" spans="2:16" x14ac:dyDescent="0.2"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</row>
    <row r="943" spans="2:16" x14ac:dyDescent="0.2"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</row>
    <row r="944" spans="2:16" x14ac:dyDescent="0.2"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</row>
    <row r="945" spans="2:16" x14ac:dyDescent="0.2"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</row>
    <row r="946" spans="2:16" x14ac:dyDescent="0.2"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</row>
    <row r="947" spans="2:16" x14ac:dyDescent="0.2"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</row>
    <row r="948" spans="2:16" x14ac:dyDescent="0.2"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</row>
    <row r="949" spans="2:16" x14ac:dyDescent="0.2"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</row>
    <row r="950" spans="2:16" x14ac:dyDescent="0.2"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</row>
    <row r="951" spans="2:16" x14ac:dyDescent="0.2"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</row>
    <row r="952" spans="2:16" x14ac:dyDescent="0.2"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</row>
    <row r="953" spans="2:16" x14ac:dyDescent="0.2"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</row>
    <row r="954" spans="2:16" x14ac:dyDescent="0.2"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</row>
    <row r="955" spans="2:16" x14ac:dyDescent="0.2"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</row>
    <row r="956" spans="2:16" x14ac:dyDescent="0.2"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</row>
    <row r="957" spans="2:16" x14ac:dyDescent="0.2"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</row>
    <row r="958" spans="2:16" x14ac:dyDescent="0.2"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</row>
    <row r="959" spans="2:16" x14ac:dyDescent="0.2"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</row>
    <row r="960" spans="2:16" x14ac:dyDescent="0.2"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</row>
    <row r="961" spans="2:16" x14ac:dyDescent="0.2"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</row>
    <row r="962" spans="2:16" x14ac:dyDescent="0.2"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</row>
    <row r="963" spans="2:16" x14ac:dyDescent="0.2"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</row>
    <row r="964" spans="2:16" x14ac:dyDescent="0.2"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</row>
    <row r="965" spans="2:16" x14ac:dyDescent="0.2"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</row>
    <row r="966" spans="2:16" x14ac:dyDescent="0.2"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</row>
    <row r="967" spans="2:16" x14ac:dyDescent="0.2"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</row>
    <row r="968" spans="2:16" x14ac:dyDescent="0.2"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</row>
    <row r="969" spans="2:16" x14ac:dyDescent="0.2"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</row>
    <row r="970" spans="2:16" x14ac:dyDescent="0.2"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</row>
    <row r="971" spans="2:16" x14ac:dyDescent="0.2"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</row>
    <row r="972" spans="2:16" x14ac:dyDescent="0.2"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</row>
    <row r="973" spans="2:16" x14ac:dyDescent="0.2"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</row>
    <row r="974" spans="2:16" x14ac:dyDescent="0.2"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</row>
    <row r="975" spans="2:16" x14ac:dyDescent="0.2"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</row>
    <row r="976" spans="2:16" x14ac:dyDescent="0.2"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</row>
    <row r="977" spans="2:16" x14ac:dyDescent="0.2"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</row>
    <row r="978" spans="2:16" x14ac:dyDescent="0.2"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</row>
    <row r="979" spans="2:16" x14ac:dyDescent="0.2"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</row>
    <row r="980" spans="2:16" x14ac:dyDescent="0.2"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</row>
    <row r="981" spans="2:16" x14ac:dyDescent="0.2"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</row>
    <row r="982" spans="2:16" x14ac:dyDescent="0.2"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</row>
    <row r="983" spans="2:16" x14ac:dyDescent="0.2"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</row>
    <row r="984" spans="2:16" x14ac:dyDescent="0.2"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</row>
    <row r="985" spans="2:16" x14ac:dyDescent="0.2"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</row>
    <row r="986" spans="2:16" x14ac:dyDescent="0.2"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</row>
    <row r="987" spans="2:16" x14ac:dyDescent="0.2"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</row>
    <row r="988" spans="2:16" x14ac:dyDescent="0.2"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</row>
    <row r="989" spans="2:16" x14ac:dyDescent="0.2"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</row>
    <row r="990" spans="2:16" x14ac:dyDescent="0.2"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</row>
    <row r="991" spans="2:16" x14ac:dyDescent="0.2"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</row>
    <row r="992" spans="2:16" x14ac:dyDescent="0.2"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</row>
    <row r="993" spans="2:16" x14ac:dyDescent="0.2"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</row>
    <row r="994" spans="2:16" x14ac:dyDescent="0.2"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</row>
    <row r="995" spans="2:16" x14ac:dyDescent="0.2"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</row>
    <row r="996" spans="2:16" x14ac:dyDescent="0.2"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</row>
    <row r="997" spans="2:16" x14ac:dyDescent="0.2"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</row>
    <row r="998" spans="2:16" x14ac:dyDescent="0.2"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</row>
    <row r="999" spans="2:16" x14ac:dyDescent="0.2"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</row>
    <row r="1000" spans="2:16" x14ac:dyDescent="0.2"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</row>
    <row r="1001" spans="2:16" x14ac:dyDescent="0.2"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</row>
    <row r="1002" spans="2:16" x14ac:dyDescent="0.2"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</row>
    <row r="1003" spans="2:16" x14ac:dyDescent="0.2"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</row>
    <row r="1004" spans="2:16" x14ac:dyDescent="0.2"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</row>
    <row r="1005" spans="2:16" x14ac:dyDescent="0.2"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</row>
    <row r="1006" spans="2:16" x14ac:dyDescent="0.2"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</row>
    <row r="1007" spans="2:16" x14ac:dyDescent="0.2"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</row>
    <row r="1008" spans="2:16" x14ac:dyDescent="0.2"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</row>
    <row r="1009" spans="2:16" x14ac:dyDescent="0.2"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</row>
    <row r="1010" spans="2:16" x14ac:dyDescent="0.2"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</row>
    <row r="1011" spans="2:16" x14ac:dyDescent="0.2"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</row>
    <row r="1012" spans="2:16" x14ac:dyDescent="0.2"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</row>
    <row r="1013" spans="2:16" x14ac:dyDescent="0.2"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</row>
    <row r="1014" spans="2:16" x14ac:dyDescent="0.2"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</row>
    <row r="1015" spans="2:16" x14ac:dyDescent="0.2"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</row>
    <row r="1016" spans="2:16" x14ac:dyDescent="0.2"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</row>
    <row r="1017" spans="2:16" x14ac:dyDescent="0.2"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</row>
    <row r="1018" spans="2:16" x14ac:dyDescent="0.2"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</row>
    <row r="1019" spans="2:16" x14ac:dyDescent="0.2"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</row>
    <row r="1020" spans="2:16" x14ac:dyDescent="0.2"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</row>
    <row r="1021" spans="2:16" x14ac:dyDescent="0.2"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</row>
    <row r="1022" spans="2:16" x14ac:dyDescent="0.2"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</row>
    <row r="1023" spans="2:16" x14ac:dyDescent="0.2"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</row>
    <row r="1024" spans="2:16" x14ac:dyDescent="0.2"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</row>
    <row r="1025" spans="2:16" x14ac:dyDescent="0.2"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</row>
    <row r="1026" spans="2:16" x14ac:dyDescent="0.2"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</row>
    <row r="1027" spans="2:16" x14ac:dyDescent="0.2"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</row>
    <row r="1028" spans="2:16" x14ac:dyDescent="0.2"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</row>
    <row r="1029" spans="2:16" x14ac:dyDescent="0.2"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</row>
    <row r="1030" spans="2:16" x14ac:dyDescent="0.2"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</row>
    <row r="1031" spans="2:16" x14ac:dyDescent="0.2"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</row>
    <row r="1032" spans="2:16" x14ac:dyDescent="0.2"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</row>
    <row r="1033" spans="2:16" x14ac:dyDescent="0.2"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</row>
    <row r="1034" spans="2:16" x14ac:dyDescent="0.2"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</row>
    <row r="1035" spans="2:16" x14ac:dyDescent="0.2"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</row>
    <row r="1036" spans="2:16" x14ac:dyDescent="0.2"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</row>
    <row r="1037" spans="2:16" x14ac:dyDescent="0.2"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</row>
    <row r="1038" spans="2:16" x14ac:dyDescent="0.2"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</row>
    <row r="1039" spans="2:16" x14ac:dyDescent="0.2"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</row>
    <row r="1040" spans="2:16" x14ac:dyDescent="0.2"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</row>
    <row r="1041" spans="2:16" x14ac:dyDescent="0.2"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</row>
    <row r="1042" spans="2:16" x14ac:dyDescent="0.2"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</row>
    <row r="1043" spans="2:16" x14ac:dyDescent="0.2"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</row>
    <row r="1044" spans="2:16" x14ac:dyDescent="0.2"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</row>
    <row r="1045" spans="2:16" x14ac:dyDescent="0.2"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</row>
    <row r="1046" spans="2:16" x14ac:dyDescent="0.2"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</row>
    <row r="1047" spans="2:16" x14ac:dyDescent="0.2"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</row>
    <row r="1048" spans="2:16" x14ac:dyDescent="0.2"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</row>
    <row r="1049" spans="2:16" x14ac:dyDescent="0.2"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</row>
    <row r="1050" spans="2:16" x14ac:dyDescent="0.2"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</row>
    <row r="1051" spans="2:16" x14ac:dyDescent="0.2"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</row>
    <row r="1052" spans="2:16" x14ac:dyDescent="0.2"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</row>
    <row r="1053" spans="2:16" x14ac:dyDescent="0.2"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</row>
    <row r="1054" spans="2:16" x14ac:dyDescent="0.2"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</row>
    <row r="1055" spans="2:16" x14ac:dyDescent="0.2"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</row>
    <row r="1056" spans="2:16" x14ac:dyDescent="0.2"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</row>
    <row r="1057" spans="2:16" x14ac:dyDescent="0.2"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</row>
    <row r="1058" spans="2:16" x14ac:dyDescent="0.2"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</row>
    <row r="1059" spans="2:16" x14ac:dyDescent="0.2"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</row>
    <row r="1060" spans="2:16" x14ac:dyDescent="0.2"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</row>
    <row r="1061" spans="2:16" x14ac:dyDescent="0.2"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</row>
    <row r="1062" spans="2:16" x14ac:dyDescent="0.2"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</row>
    <row r="1063" spans="2:16" x14ac:dyDescent="0.2"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</row>
    <row r="1064" spans="2:16" x14ac:dyDescent="0.2"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</row>
    <row r="1065" spans="2:16" x14ac:dyDescent="0.2"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</row>
    <row r="1066" spans="2:16" x14ac:dyDescent="0.2"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</row>
    <row r="1067" spans="2:16" x14ac:dyDescent="0.2"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</row>
    <row r="1068" spans="2:16" x14ac:dyDescent="0.2"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</row>
    <row r="1069" spans="2:16" x14ac:dyDescent="0.2"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</row>
    <row r="1070" spans="2:16" x14ac:dyDescent="0.2"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</row>
    <row r="1071" spans="2:16" x14ac:dyDescent="0.2"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</row>
    <row r="1072" spans="2:16" x14ac:dyDescent="0.2"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</row>
    <row r="1073" spans="2:16" x14ac:dyDescent="0.2"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</row>
    <row r="1074" spans="2:16" x14ac:dyDescent="0.2"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</row>
    <row r="1075" spans="2:16" x14ac:dyDescent="0.2"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</row>
    <row r="1076" spans="2:16" x14ac:dyDescent="0.2"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</row>
    <row r="1077" spans="2:16" x14ac:dyDescent="0.2"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</row>
    <row r="1078" spans="2:16" x14ac:dyDescent="0.2"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</row>
    <row r="1079" spans="2:16" x14ac:dyDescent="0.2"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</row>
    <row r="1080" spans="2:16" x14ac:dyDescent="0.2"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</row>
    <row r="1081" spans="2:16" x14ac:dyDescent="0.2"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</row>
    <row r="1082" spans="2:16" x14ac:dyDescent="0.2"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</row>
    <row r="1083" spans="2:16" x14ac:dyDescent="0.2"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</row>
    <row r="1084" spans="2:16" x14ac:dyDescent="0.2"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</row>
    <row r="1085" spans="2:16" x14ac:dyDescent="0.2"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</row>
    <row r="1086" spans="2:16" x14ac:dyDescent="0.2"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</row>
    <row r="1087" spans="2:16" x14ac:dyDescent="0.2"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</row>
    <row r="1088" spans="2:16" x14ac:dyDescent="0.2"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</row>
    <row r="1089" spans="2:16" x14ac:dyDescent="0.2"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</row>
    <row r="1090" spans="2:16" x14ac:dyDescent="0.2"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</row>
    <row r="1091" spans="2:16" x14ac:dyDescent="0.2"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</row>
    <row r="1092" spans="2:16" x14ac:dyDescent="0.2"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</row>
    <row r="1093" spans="2:16" x14ac:dyDescent="0.2"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</row>
    <row r="1094" spans="2:16" x14ac:dyDescent="0.2"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</row>
    <row r="1095" spans="2:16" x14ac:dyDescent="0.2"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</row>
    <row r="1096" spans="2:16" x14ac:dyDescent="0.2"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</row>
    <row r="1097" spans="2:16" x14ac:dyDescent="0.2"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</row>
    <row r="1098" spans="2:16" x14ac:dyDescent="0.2"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</row>
    <row r="1099" spans="2:16" x14ac:dyDescent="0.2"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</row>
    <row r="1100" spans="2:16" x14ac:dyDescent="0.2"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</row>
    <row r="1101" spans="2:16" x14ac:dyDescent="0.2"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</row>
    <row r="1102" spans="2:16" x14ac:dyDescent="0.2"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</row>
    <row r="1103" spans="2:16" x14ac:dyDescent="0.2"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</row>
    <row r="1104" spans="2:16" x14ac:dyDescent="0.2"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</row>
    <row r="1105" spans="2:16" x14ac:dyDescent="0.2"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</row>
    <row r="1106" spans="2:16" x14ac:dyDescent="0.2"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</row>
    <row r="1107" spans="2:16" x14ac:dyDescent="0.2"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</row>
    <row r="1108" spans="2:16" x14ac:dyDescent="0.2"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</row>
    <row r="1109" spans="2:16" x14ac:dyDescent="0.2"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</row>
    <row r="1110" spans="2:16" x14ac:dyDescent="0.2"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</row>
    <row r="1111" spans="2:16" x14ac:dyDescent="0.2"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</row>
    <row r="1112" spans="2:16" x14ac:dyDescent="0.2"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</row>
    <row r="1113" spans="2:16" x14ac:dyDescent="0.2"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</row>
    <row r="1114" spans="2:16" x14ac:dyDescent="0.2"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</row>
    <row r="1115" spans="2:16" x14ac:dyDescent="0.2"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</row>
    <row r="1116" spans="2:16" x14ac:dyDescent="0.2"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</row>
    <row r="1117" spans="2:16" x14ac:dyDescent="0.2"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</row>
    <row r="1118" spans="2:16" x14ac:dyDescent="0.2"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</row>
    <row r="1119" spans="2:16" x14ac:dyDescent="0.2"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</row>
    <row r="1120" spans="2:16" x14ac:dyDescent="0.2"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</row>
    <row r="1121" spans="2:16" x14ac:dyDescent="0.2"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</row>
    <row r="1122" spans="2:16" x14ac:dyDescent="0.2"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</row>
    <row r="1123" spans="2:16" x14ac:dyDescent="0.2"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</row>
    <row r="1124" spans="2:16" x14ac:dyDescent="0.2"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</row>
    <row r="1125" spans="2:16" x14ac:dyDescent="0.2"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</row>
    <row r="1126" spans="2:16" x14ac:dyDescent="0.2"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</row>
    <row r="1127" spans="2:16" x14ac:dyDescent="0.2"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</row>
    <row r="1128" spans="2:16" x14ac:dyDescent="0.2"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</row>
    <row r="1129" spans="2:16" x14ac:dyDescent="0.2"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</row>
    <row r="1130" spans="2:16" x14ac:dyDescent="0.2"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</row>
    <row r="1131" spans="2:16" x14ac:dyDescent="0.2"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</row>
    <row r="1132" spans="2:16" x14ac:dyDescent="0.2"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</row>
    <row r="1133" spans="2:16" x14ac:dyDescent="0.2"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</row>
    <row r="1134" spans="2:16" x14ac:dyDescent="0.2"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</row>
    <row r="1135" spans="2:16" x14ac:dyDescent="0.2"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</row>
    <row r="1136" spans="2:16" x14ac:dyDescent="0.2"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</row>
    <row r="1137" spans="2:16" x14ac:dyDescent="0.2"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</row>
    <row r="1138" spans="2:16" x14ac:dyDescent="0.2"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</row>
    <row r="1139" spans="2:16" x14ac:dyDescent="0.2"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</row>
    <row r="1140" spans="2:16" x14ac:dyDescent="0.2"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</row>
    <row r="1141" spans="2:16" x14ac:dyDescent="0.2"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</row>
    <row r="1142" spans="2:16" x14ac:dyDescent="0.2"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</row>
    <row r="1143" spans="2:16" x14ac:dyDescent="0.2">
      <c r="B1143" s="9"/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</row>
    <row r="1144" spans="2:16" x14ac:dyDescent="0.2"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</row>
    <row r="1145" spans="2:16" x14ac:dyDescent="0.2"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</row>
    <row r="1146" spans="2:16" x14ac:dyDescent="0.2"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</row>
    <row r="1147" spans="2:16" x14ac:dyDescent="0.2"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</row>
    <row r="1148" spans="2:16" x14ac:dyDescent="0.2"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</row>
    <row r="1149" spans="2:16" x14ac:dyDescent="0.2"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</row>
    <row r="1150" spans="2:16" x14ac:dyDescent="0.2"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</row>
    <row r="1151" spans="2:16" x14ac:dyDescent="0.2"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</row>
    <row r="1152" spans="2:16" x14ac:dyDescent="0.2"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</row>
    <row r="1153" spans="2:16" x14ac:dyDescent="0.2"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</row>
    <row r="1154" spans="2:16" x14ac:dyDescent="0.2"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</row>
    <row r="1155" spans="2:16" x14ac:dyDescent="0.2"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</row>
    <row r="1156" spans="2:16" x14ac:dyDescent="0.2"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</row>
    <row r="1157" spans="2:16" x14ac:dyDescent="0.2"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</row>
    <row r="1158" spans="2:16" x14ac:dyDescent="0.2"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</row>
    <row r="1159" spans="2:16" x14ac:dyDescent="0.2"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</row>
    <row r="1160" spans="2:16" x14ac:dyDescent="0.2">
      <c r="B1160" s="9"/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</row>
    <row r="1161" spans="2:16" x14ac:dyDescent="0.2">
      <c r="B1161" s="9"/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</row>
    <row r="1162" spans="2:16" x14ac:dyDescent="0.2">
      <c r="B1162" s="9"/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</row>
    <row r="1163" spans="2:16" x14ac:dyDescent="0.2">
      <c r="B1163" s="9"/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</row>
    <row r="1164" spans="2:16" x14ac:dyDescent="0.2"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</row>
    <row r="1165" spans="2:16" x14ac:dyDescent="0.2">
      <c r="B1165" s="9"/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</row>
    <row r="1166" spans="2:16" x14ac:dyDescent="0.2">
      <c r="B1166" s="9"/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</row>
    <row r="1167" spans="2:16" x14ac:dyDescent="0.2">
      <c r="B1167" s="9"/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</row>
    <row r="1168" spans="2:16" x14ac:dyDescent="0.2">
      <c r="B1168" s="9"/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</row>
    <row r="1169" spans="2:16" x14ac:dyDescent="0.2">
      <c r="B1169" s="9"/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</row>
    <row r="1170" spans="2:16" x14ac:dyDescent="0.2">
      <c r="B1170" s="9"/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</row>
    <row r="1171" spans="2:16" x14ac:dyDescent="0.2">
      <c r="B1171" s="9"/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</row>
    <row r="1172" spans="2:16" x14ac:dyDescent="0.2">
      <c r="B1172" s="9"/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</row>
    <row r="1173" spans="2:16" x14ac:dyDescent="0.2">
      <c r="B1173" s="9"/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</row>
    <row r="1174" spans="2:16" x14ac:dyDescent="0.2">
      <c r="B1174" s="9"/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</row>
    <row r="1175" spans="2:16" x14ac:dyDescent="0.2"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</row>
    <row r="1176" spans="2:16" x14ac:dyDescent="0.2"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</row>
    <row r="1177" spans="2:16" x14ac:dyDescent="0.2"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</row>
    <row r="1178" spans="2:16" x14ac:dyDescent="0.2">
      <c r="B1178" s="9"/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</row>
    <row r="1179" spans="2:16" x14ac:dyDescent="0.2">
      <c r="B1179" s="9"/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</row>
    <row r="1180" spans="2:16" x14ac:dyDescent="0.2">
      <c r="B1180" s="9"/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</row>
    <row r="1181" spans="2:16" x14ac:dyDescent="0.2">
      <c r="B1181" s="9"/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</row>
    <row r="1182" spans="2:16" x14ac:dyDescent="0.2">
      <c r="B1182" s="9"/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</row>
    <row r="1183" spans="2:16" x14ac:dyDescent="0.2">
      <c r="B1183" s="9"/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</row>
    <row r="1184" spans="2:16" x14ac:dyDescent="0.2">
      <c r="B1184" s="9"/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</row>
    <row r="1185" spans="2:16" x14ac:dyDescent="0.2">
      <c r="B1185" s="9"/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</row>
    <row r="1186" spans="2:16" x14ac:dyDescent="0.2">
      <c r="B1186" s="9"/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</row>
    <row r="1187" spans="2:16" x14ac:dyDescent="0.2">
      <c r="B1187" s="9"/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</row>
    <row r="1188" spans="2:16" x14ac:dyDescent="0.2">
      <c r="B1188" s="9"/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</row>
    <row r="1189" spans="2:16" x14ac:dyDescent="0.2">
      <c r="B1189" s="9"/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</row>
    <row r="1190" spans="2:16" x14ac:dyDescent="0.2">
      <c r="B1190" s="9"/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</row>
    <row r="1191" spans="2:16" x14ac:dyDescent="0.2">
      <c r="B1191" s="9"/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</row>
    <row r="1192" spans="2:16" x14ac:dyDescent="0.2"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</row>
    <row r="1193" spans="2:16" x14ac:dyDescent="0.2"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</row>
    <row r="1194" spans="2:16" x14ac:dyDescent="0.2">
      <c r="B1194" s="9"/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</row>
    <row r="1195" spans="2:16" x14ac:dyDescent="0.2">
      <c r="B1195" s="9"/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</row>
    <row r="1196" spans="2:16" x14ac:dyDescent="0.2">
      <c r="B1196" s="9"/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</row>
    <row r="1197" spans="2:16" x14ac:dyDescent="0.2">
      <c r="B1197" s="9"/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</row>
    <row r="1198" spans="2:16" x14ac:dyDescent="0.2"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</row>
    <row r="1199" spans="2:16" x14ac:dyDescent="0.2">
      <c r="B1199" s="9"/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</row>
    <row r="1200" spans="2:16" x14ac:dyDescent="0.2">
      <c r="B1200" s="9"/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</row>
    <row r="1201" spans="2:16" x14ac:dyDescent="0.2">
      <c r="B1201" s="9"/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</row>
    <row r="1202" spans="2:16" x14ac:dyDescent="0.2">
      <c r="B1202" s="9"/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</row>
    <row r="1203" spans="2:16" x14ac:dyDescent="0.2">
      <c r="B1203" s="9"/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</row>
    <row r="1204" spans="2:16" x14ac:dyDescent="0.2">
      <c r="B1204" s="9"/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</row>
    <row r="1205" spans="2:16" x14ac:dyDescent="0.2">
      <c r="B1205" s="9"/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</row>
    <row r="1206" spans="2:16" x14ac:dyDescent="0.2">
      <c r="B1206" s="9"/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</row>
    <row r="1207" spans="2:16" x14ac:dyDescent="0.2">
      <c r="B1207" s="9"/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</row>
    <row r="1208" spans="2:16" x14ac:dyDescent="0.2">
      <c r="B1208" s="9"/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</row>
    <row r="1209" spans="2:16" x14ac:dyDescent="0.2"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</row>
    <row r="1210" spans="2:16" x14ac:dyDescent="0.2"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</row>
    <row r="1211" spans="2:16" x14ac:dyDescent="0.2">
      <c r="B1211" s="9"/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</row>
    <row r="1212" spans="2:16" x14ac:dyDescent="0.2">
      <c r="B1212" s="9"/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</row>
    <row r="1213" spans="2:16" x14ac:dyDescent="0.2">
      <c r="B1213" s="9"/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</row>
    <row r="1214" spans="2:16" x14ac:dyDescent="0.2">
      <c r="B1214" s="9"/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</row>
    <row r="1215" spans="2:16" x14ac:dyDescent="0.2">
      <c r="B1215" s="9"/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</row>
    <row r="1216" spans="2:16" x14ac:dyDescent="0.2">
      <c r="B1216" s="9"/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</row>
    <row r="1217" spans="2:16" x14ac:dyDescent="0.2">
      <c r="B1217" s="9"/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</row>
    <row r="1218" spans="2:16" x14ac:dyDescent="0.2">
      <c r="B1218" s="9"/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</row>
    <row r="1219" spans="2:16" x14ac:dyDescent="0.2"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</row>
    <row r="1220" spans="2:16" x14ac:dyDescent="0.2">
      <c r="B1220" s="9"/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</row>
    <row r="1221" spans="2:16" x14ac:dyDescent="0.2">
      <c r="B1221" s="9"/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</row>
    <row r="1222" spans="2:16" x14ac:dyDescent="0.2">
      <c r="B1222" s="9"/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</row>
    <row r="1223" spans="2:16" x14ac:dyDescent="0.2">
      <c r="B1223" s="9"/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</row>
    <row r="1224" spans="2:16" x14ac:dyDescent="0.2">
      <c r="B1224" s="9"/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</row>
    <row r="1225" spans="2:16" x14ac:dyDescent="0.2">
      <c r="B1225" s="9"/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</row>
    <row r="1226" spans="2:16" x14ac:dyDescent="0.2"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</row>
    <row r="1227" spans="2:16" x14ac:dyDescent="0.2"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</row>
    <row r="1228" spans="2:16" x14ac:dyDescent="0.2">
      <c r="B1228" s="9"/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</row>
    <row r="1229" spans="2:16" x14ac:dyDescent="0.2">
      <c r="B1229" s="9"/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</row>
    <row r="1230" spans="2:16" x14ac:dyDescent="0.2">
      <c r="B1230" s="9"/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</row>
    <row r="1231" spans="2:16" x14ac:dyDescent="0.2">
      <c r="B1231" s="9"/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</row>
    <row r="1232" spans="2:16" x14ac:dyDescent="0.2">
      <c r="B1232" s="9"/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</row>
    <row r="1233" spans="2:16" x14ac:dyDescent="0.2">
      <c r="B1233" s="9"/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</row>
    <row r="1234" spans="2:16" x14ac:dyDescent="0.2">
      <c r="B1234" s="9"/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</row>
    <row r="1235" spans="2:16" x14ac:dyDescent="0.2">
      <c r="B1235" s="9"/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</row>
    <row r="1236" spans="2:16" x14ac:dyDescent="0.2">
      <c r="B1236" s="9"/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</row>
    <row r="1237" spans="2:16" x14ac:dyDescent="0.2">
      <c r="B1237" s="9"/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</row>
    <row r="1238" spans="2:16" x14ac:dyDescent="0.2">
      <c r="B1238" s="9"/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</row>
    <row r="1239" spans="2:16" x14ac:dyDescent="0.2">
      <c r="B1239" s="9"/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</row>
    <row r="1240" spans="2:16" x14ac:dyDescent="0.2"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</row>
    <row r="1241" spans="2:16" x14ac:dyDescent="0.2">
      <c r="B1241" s="9"/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</row>
    <row r="1242" spans="2:16" x14ac:dyDescent="0.2">
      <c r="B1242" s="9"/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</row>
    <row r="1243" spans="2:16" x14ac:dyDescent="0.2"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</row>
    <row r="1244" spans="2:16" x14ac:dyDescent="0.2"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</row>
    <row r="1245" spans="2:16" x14ac:dyDescent="0.2">
      <c r="B1245" s="9"/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</row>
    <row r="1246" spans="2:16" x14ac:dyDescent="0.2">
      <c r="B1246" s="9"/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</row>
    <row r="1247" spans="2:16" x14ac:dyDescent="0.2">
      <c r="B1247" s="9"/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</row>
    <row r="1248" spans="2:16" x14ac:dyDescent="0.2">
      <c r="B1248" s="9"/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</row>
    <row r="1249" spans="2:16" x14ac:dyDescent="0.2"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</row>
    <row r="1250" spans="2:16" x14ac:dyDescent="0.2">
      <c r="B1250" s="9"/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</row>
    <row r="1251" spans="2:16" x14ac:dyDescent="0.2"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</row>
    <row r="1252" spans="2:16" x14ac:dyDescent="0.2">
      <c r="B1252" s="9"/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</row>
    <row r="1253" spans="2:16" x14ac:dyDescent="0.2">
      <c r="B1253" s="9"/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</row>
    <row r="1254" spans="2:16" x14ac:dyDescent="0.2">
      <c r="B1254" s="9"/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</row>
    <row r="1255" spans="2:16" x14ac:dyDescent="0.2">
      <c r="B1255" s="9"/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</row>
    <row r="1256" spans="2:16" x14ac:dyDescent="0.2">
      <c r="B1256" s="9"/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</row>
    <row r="1257" spans="2:16" x14ac:dyDescent="0.2">
      <c r="B1257" s="9"/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</row>
    <row r="1258" spans="2:16" x14ac:dyDescent="0.2">
      <c r="B1258" s="9"/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</row>
    <row r="1259" spans="2:16" x14ac:dyDescent="0.2">
      <c r="B1259" s="9"/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</row>
    <row r="1260" spans="2:16" x14ac:dyDescent="0.2"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</row>
    <row r="1261" spans="2:16" x14ac:dyDescent="0.2"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</row>
    <row r="1262" spans="2:16" x14ac:dyDescent="0.2">
      <c r="B1262" s="9"/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</row>
    <row r="1263" spans="2:16" x14ac:dyDescent="0.2">
      <c r="B1263" s="9"/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</row>
    <row r="1264" spans="2:16" x14ac:dyDescent="0.2">
      <c r="B1264" s="9"/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</row>
    <row r="1265" spans="2:16" x14ac:dyDescent="0.2">
      <c r="B1265" s="9"/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</row>
    <row r="1266" spans="2:16" x14ac:dyDescent="0.2">
      <c r="B1266" s="9"/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</row>
    <row r="1267" spans="2:16" x14ac:dyDescent="0.2">
      <c r="B1267" s="9"/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</row>
    <row r="1268" spans="2:16" x14ac:dyDescent="0.2">
      <c r="B1268" s="9"/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</row>
    <row r="1269" spans="2:16" x14ac:dyDescent="0.2">
      <c r="B1269" s="9"/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</row>
    <row r="1270" spans="2:16" x14ac:dyDescent="0.2">
      <c r="B1270" s="9"/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</row>
    <row r="1271" spans="2:16" x14ac:dyDescent="0.2">
      <c r="B1271" s="9"/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</row>
    <row r="1272" spans="2:16" x14ac:dyDescent="0.2">
      <c r="B1272" s="9"/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</row>
    <row r="1273" spans="2:16" x14ac:dyDescent="0.2">
      <c r="B1273" s="9"/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</row>
    <row r="1274" spans="2:16" x14ac:dyDescent="0.2">
      <c r="B1274" s="9"/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</row>
    <row r="1275" spans="2:16" x14ac:dyDescent="0.2">
      <c r="B1275" s="9"/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</row>
    <row r="1276" spans="2:16" x14ac:dyDescent="0.2">
      <c r="B1276" s="9"/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</row>
    <row r="1277" spans="2:16" x14ac:dyDescent="0.2"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</row>
    <row r="1278" spans="2:16" x14ac:dyDescent="0.2"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</row>
    <row r="1279" spans="2:16" x14ac:dyDescent="0.2">
      <c r="B1279" s="9"/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</row>
    <row r="1280" spans="2:16" x14ac:dyDescent="0.2">
      <c r="B1280" s="9"/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</row>
    <row r="1281" spans="2:16" x14ac:dyDescent="0.2">
      <c r="B1281" s="9"/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</row>
    <row r="1282" spans="2:16" x14ac:dyDescent="0.2"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</row>
    <row r="1283" spans="2:16" x14ac:dyDescent="0.2">
      <c r="B1283" s="9"/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</row>
    <row r="1284" spans="2:16" x14ac:dyDescent="0.2">
      <c r="B1284" s="9"/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</row>
    <row r="1285" spans="2:16" x14ac:dyDescent="0.2">
      <c r="B1285" s="9"/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</row>
    <row r="1286" spans="2:16" x14ac:dyDescent="0.2">
      <c r="B1286" s="9"/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</row>
    <row r="1287" spans="2:16" x14ac:dyDescent="0.2">
      <c r="B1287" s="9"/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</row>
    <row r="1288" spans="2:16" x14ac:dyDescent="0.2"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</row>
    <row r="1289" spans="2:16" x14ac:dyDescent="0.2">
      <c r="B1289" s="9"/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</row>
    <row r="1290" spans="2:16" x14ac:dyDescent="0.2"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</row>
    <row r="1291" spans="2:16" x14ac:dyDescent="0.2">
      <c r="B1291" s="9"/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</row>
    <row r="1292" spans="2:16" x14ac:dyDescent="0.2">
      <c r="B1292" s="9"/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</row>
    <row r="1293" spans="2:16" x14ac:dyDescent="0.2">
      <c r="B1293" s="9"/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</row>
    <row r="1294" spans="2:16" x14ac:dyDescent="0.2"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</row>
    <row r="1295" spans="2:16" x14ac:dyDescent="0.2"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</row>
    <row r="1296" spans="2:16" x14ac:dyDescent="0.2">
      <c r="B1296" s="9"/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</row>
    <row r="1297" spans="2:16" x14ac:dyDescent="0.2">
      <c r="B1297" s="9"/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</row>
    <row r="1298" spans="2:16" x14ac:dyDescent="0.2">
      <c r="B1298" s="9"/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</row>
    <row r="1299" spans="2:16" x14ac:dyDescent="0.2">
      <c r="B1299" s="9"/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</row>
    <row r="1300" spans="2:16" x14ac:dyDescent="0.2">
      <c r="B1300" s="9"/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</row>
    <row r="1301" spans="2:16" x14ac:dyDescent="0.2">
      <c r="B1301" s="9"/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</row>
    <row r="1302" spans="2:16" x14ac:dyDescent="0.2"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</row>
    <row r="1303" spans="2:16" x14ac:dyDescent="0.2"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</row>
    <row r="1304" spans="2:16" x14ac:dyDescent="0.2">
      <c r="B1304" s="9"/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</row>
    <row r="1305" spans="2:16" x14ac:dyDescent="0.2">
      <c r="B1305" s="9"/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</row>
    <row r="1306" spans="2:16" x14ac:dyDescent="0.2">
      <c r="B1306" s="9"/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</row>
    <row r="1307" spans="2:16" x14ac:dyDescent="0.2">
      <c r="B1307" s="9"/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</row>
    <row r="1308" spans="2:16" x14ac:dyDescent="0.2">
      <c r="B1308" s="9"/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</row>
    <row r="1309" spans="2:16" x14ac:dyDescent="0.2">
      <c r="B1309" s="9"/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</row>
    <row r="1310" spans="2:16" x14ac:dyDescent="0.2">
      <c r="B1310" s="9"/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</row>
    <row r="1311" spans="2:16" x14ac:dyDescent="0.2"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</row>
    <row r="1312" spans="2:16" x14ac:dyDescent="0.2"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</row>
    <row r="1313" spans="2:16" x14ac:dyDescent="0.2">
      <c r="B1313" s="9"/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</row>
    <row r="1314" spans="2:16" x14ac:dyDescent="0.2">
      <c r="B1314" s="9"/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</row>
    <row r="1315" spans="2:16" x14ac:dyDescent="0.2">
      <c r="B1315" s="9"/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</row>
    <row r="1316" spans="2:16" x14ac:dyDescent="0.2">
      <c r="B1316" s="9"/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</row>
    <row r="1317" spans="2:16" x14ac:dyDescent="0.2">
      <c r="B1317" s="9"/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</row>
    <row r="1318" spans="2:16" x14ac:dyDescent="0.2">
      <c r="B1318" s="9"/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</row>
    <row r="1319" spans="2:16" x14ac:dyDescent="0.2">
      <c r="B1319" s="9"/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</row>
    <row r="1320" spans="2:16" x14ac:dyDescent="0.2">
      <c r="B1320" s="9"/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</row>
    <row r="1321" spans="2:16" x14ac:dyDescent="0.2">
      <c r="B1321" s="9"/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</row>
    <row r="1322" spans="2:16" x14ac:dyDescent="0.2">
      <c r="B1322" s="9"/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</row>
    <row r="1323" spans="2:16" x14ac:dyDescent="0.2">
      <c r="B1323" s="9"/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</row>
    <row r="1324" spans="2:16" x14ac:dyDescent="0.2"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</row>
    <row r="1325" spans="2:16" x14ac:dyDescent="0.2">
      <c r="B1325" s="9"/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</row>
    <row r="1326" spans="2:16" x14ac:dyDescent="0.2">
      <c r="B1326" s="9"/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</row>
    <row r="1327" spans="2:16" x14ac:dyDescent="0.2">
      <c r="B1327" s="9"/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</row>
    <row r="1328" spans="2:16" x14ac:dyDescent="0.2"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</row>
    <row r="1329" spans="2:16" x14ac:dyDescent="0.2"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</row>
    <row r="1330" spans="2:16" x14ac:dyDescent="0.2">
      <c r="B1330" s="9"/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</row>
    <row r="1331" spans="2:16" x14ac:dyDescent="0.2">
      <c r="B1331" s="9"/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</row>
    <row r="1332" spans="2:16" x14ac:dyDescent="0.2">
      <c r="B1332" s="9"/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</row>
    <row r="1333" spans="2:16" x14ac:dyDescent="0.2">
      <c r="B1333" s="9"/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</row>
    <row r="1334" spans="2:16" x14ac:dyDescent="0.2"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</row>
    <row r="1335" spans="2:16" x14ac:dyDescent="0.2">
      <c r="B1335" s="9"/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</row>
    <row r="1336" spans="2:16" x14ac:dyDescent="0.2"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</row>
    <row r="1337" spans="2:16" x14ac:dyDescent="0.2">
      <c r="B1337" s="9"/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</row>
    <row r="1338" spans="2:16" x14ac:dyDescent="0.2">
      <c r="B1338" s="9"/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</row>
    <row r="1339" spans="2:16" x14ac:dyDescent="0.2">
      <c r="B1339" s="9"/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</row>
    <row r="1340" spans="2:16" x14ac:dyDescent="0.2">
      <c r="B1340" s="9"/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</row>
    <row r="1341" spans="2:16" x14ac:dyDescent="0.2">
      <c r="B1341" s="9"/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</row>
    <row r="1342" spans="2:16" x14ac:dyDescent="0.2">
      <c r="B1342" s="9"/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</row>
    <row r="1343" spans="2:16" x14ac:dyDescent="0.2">
      <c r="B1343" s="9"/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</row>
    <row r="1344" spans="2:16" x14ac:dyDescent="0.2">
      <c r="B1344" s="9"/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</row>
    <row r="1345" spans="2:16" x14ac:dyDescent="0.2"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</row>
    <row r="1346" spans="2:16" x14ac:dyDescent="0.2"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</row>
    <row r="1347" spans="2:16" x14ac:dyDescent="0.2">
      <c r="B1347" s="9"/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</row>
    <row r="1348" spans="2:16" x14ac:dyDescent="0.2">
      <c r="B1348" s="9"/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</row>
    <row r="1349" spans="2:16" x14ac:dyDescent="0.2">
      <c r="B1349" s="9"/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</row>
    <row r="1350" spans="2:16" x14ac:dyDescent="0.2">
      <c r="B1350" s="9"/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</row>
    <row r="1351" spans="2:16" x14ac:dyDescent="0.2">
      <c r="B1351" s="9"/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</row>
    <row r="1352" spans="2:16" x14ac:dyDescent="0.2">
      <c r="B1352" s="9"/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</row>
    <row r="1353" spans="2:16" x14ac:dyDescent="0.2">
      <c r="B1353" s="9"/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</row>
    <row r="1354" spans="2:16" x14ac:dyDescent="0.2">
      <c r="B1354" s="9"/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</row>
    <row r="1355" spans="2:16" x14ac:dyDescent="0.2">
      <c r="B1355" s="9"/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</row>
    <row r="1356" spans="2:16" x14ac:dyDescent="0.2">
      <c r="B1356" s="9"/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</row>
    <row r="1357" spans="2:16" x14ac:dyDescent="0.2">
      <c r="B1357" s="9"/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</row>
    <row r="1358" spans="2:16" x14ac:dyDescent="0.2">
      <c r="B1358" s="9"/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</row>
    <row r="1359" spans="2:16" x14ac:dyDescent="0.2">
      <c r="B1359" s="9"/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</row>
    <row r="1360" spans="2:16" x14ac:dyDescent="0.2">
      <c r="B1360" s="9"/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</row>
    <row r="1361" spans="2:16" x14ac:dyDescent="0.2">
      <c r="B1361" s="9"/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</row>
    <row r="1362" spans="2:16" x14ac:dyDescent="0.2"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</row>
    <row r="1363" spans="2:16" x14ac:dyDescent="0.2"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</row>
    <row r="1364" spans="2:16" x14ac:dyDescent="0.2">
      <c r="B1364" s="9"/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</row>
    <row r="1365" spans="2:16" x14ac:dyDescent="0.2">
      <c r="B1365" s="9"/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</row>
    <row r="1366" spans="2:16" x14ac:dyDescent="0.2"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</row>
    <row r="1367" spans="2:16" x14ac:dyDescent="0.2">
      <c r="B1367" s="9"/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</row>
    <row r="1368" spans="2:16" x14ac:dyDescent="0.2">
      <c r="B1368" s="9"/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</row>
    <row r="1369" spans="2:16" x14ac:dyDescent="0.2">
      <c r="B1369" s="9"/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</row>
    <row r="1370" spans="2:16" x14ac:dyDescent="0.2">
      <c r="B1370" s="9"/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</row>
    <row r="1371" spans="2:16" x14ac:dyDescent="0.2">
      <c r="B1371" s="9"/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</row>
    <row r="1372" spans="2:16" x14ac:dyDescent="0.2">
      <c r="B1372" s="9"/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</row>
    <row r="1373" spans="2:16" x14ac:dyDescent="0.2">
      <c r="B1373" s="9"/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</row>
    <row r="1374" spans="2:16" x14ac:dyDescent="0.2">
      <c r="B1374" s="9"/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</row>
    <row r="1375" spans="2:16" x14ac:dyDescent="0.2">
      <c r="B1375" s="9"/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</row>
    <row r="1376" spans="2:16" x14ac:dyDescent="0.2">
      <c r="B1376" s="9"/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</row>
    <row r="1377" spans="2:16" x14ac:dyDescent="0.2">
      <c r="B1377" s="9"/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</row>
    <row r="1378" spans="2:16" x14ac:dyDescent="0.2">
      <c r="B1378" s="9"/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</row>
    <row r="1379" spans="2:16" x14ac:dyDescent="0.2"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</row>
    <row r="1380" spans="2:16" x14ac:dyDescent="0.2"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</row>
    <row r="1381" spans="2:16" x14ac:dyDescent="0.2"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</row>
    <row r="1382" spans="2:16" x14ac:dyDescent="0.2">
      <c r="B1382" s="9"/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</row>
    <row r="1383" spans="2:16" x14ac:dyDescent="0.2">
      <c r="B1383" s="9"/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</row>
    <row r="1384" spans="2:16" x14ac:dyDescent="0.2">
      <c r="B1384" s="9"/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</row>
    <row r="1385" spans="2:16" x14ac:dyDescent="0.2">
      <c r="B1385" s="9"/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</row>
    <row r="1386" spans="2:16" x14ac:dyDescent="0.2">
      <c r="B1386" s="9"/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</row>
    <row r="1387" spans="2:16" x14ac:dyDescent="0.2">
      <c r="B1387" s="9"/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</row>
    <row r="1388" spans="2:16" x14ac:dyDescent="0.2">
      <c r="B1388" s="9"/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</row>
    <row r="1389" spans="2:16" x14ac:dyDescent="0.2">
      <c r="B1389" s="9"/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</row>
    <row r="1390" spans="2:16" x14ac:dyDescent="0.2">
      <c r="B1390" s="9"/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</row>
    <row r="1391" spans="2:16" x14ac:dyDescent="0.2">
      <c r="B1391" s="9"/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</row>
    <row r="1392" spans="2:16" x14ac:dyDescent="0.2">
      <c r="B1392" s="9"/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</row>
    <row r="1393" spans="2:16" x14ac:dyDescent="0.2"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</row>
    <row r="1394" spans="2:16" x14ac:dyDescent="0.2">
      <c r="B1394" s="9"/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</row>
    <row r="1395" spans="2:16" x14ac:dyDescent="0.2">
      <c r="B1395" s="9"/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</row>
    <row r="1396" spans="2:16" x14ac:dyDescent="0.2"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</row>
    <row r="1397" spans="2:16" x14ac:dyDescent="0.2"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</row>
    <row r="1398" spans="2:16" x14ac:dyDescent="0.2">
      <c r="B1398" s="9"/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</row>
    <row r="1399" spans="2:16" x14ac:dyDescent="0.2">
      <c r="B1399" s="9"/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</row>
    <row r="1400" spans="2:16" x14ac:dyDescent="0.2">
      <c r="B1400" s="9"/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</row>
    <row r="1401" spans="2:16" x14ac:dyDescent="0.2">
      <c r="B1401" s="9"/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</row>
    <row r="1402" spans="2:16" x14ac:dyDescent="0.2">
      <c r="B1402" s="9"/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</row>
    <row r="1403" spans="2:16" x14ac:dyDescent="0.2">
      <c r="B1403" s="9"/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</row>
    <row r="1404" spans="2:16" x14ac:dyDescent="0.2">
      <c r="B1404" s="9"/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</row>
    <row r="1405" spans="2:16" x14ac:dyDescent="0.2">
      <c r="B1405" s="9"/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</row>
    <row r="1406" spans="2:16" x14ac:dyDescent="0.2">
      <c r="B1406" s="9"/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</row>
    <row r="1407" spans="2:16" x14ac:dyDescent="0.2">
      <c r="B1407" s="9"/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</row>
    <row r="1408" spans="2:16" x14ac:dyDescent="0.2">
      <c r="B1408" s="9"/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</row>
    <row r="1409" spans="2:16" x14ac:dyDescent="0.2">
      <c r="B1409" s="9"/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</row>
    <row r="1410" spans="2:16" x14ac:dyDescent="0.2">
      <c r="B1410" s="9"/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</row>
    <row r="1411" spans="2:16" x14ac:dyDescent="0.2">
      <c r="B1411" s="9"/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</row>
    <row r="1412" spans="2:16" x14ac:dyDescent="0.2">
      <c r="B1412" s="9"/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</row>
    <row r="1413" spans="2:16" x14ac:dyDescent="0.2"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</row>
    <row r="1414" spans="2:16" x14ac:dyDescent="0.2"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</row>
    <row r="1415" spans="2:16" x14ac:dyDescent="0.2">
      <c r="B1415" s="9"/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</row>
    <row r="1416" spans="2:16" x14ac:dyDescent="0.2"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</row>
    <row r="1417" spans="2:16" x14ac:dyDescent="0.2">
      <c r="B1417" s="9"/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</row>
    <row r="1418" spans="2:16" x14ac:dyDescent="0.2">
      <c r="B1418" s="9"/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</row>
    <row r="1419" spans="2:16" x14ac:dyDescent="0.2">
      <c r="B1419" s="9"/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</row>
    <row r="1420" spans="2:16" x14ac:dyDescent="0.2">
      <c r="B1420" s="9"/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</row>
    <row r="1421" spans="2:16" x14ac:dyDescent="0.2">
      <c r="B1421" s="9"/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</row>
    <row r="1422" spans="2:16" x14ac:dyDescent="0.2">
      <c r="B1422" s="9"/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</row>
    <row r="1423" spans="2:16" x14ac:dyDescent="0.2">
      <c r="B1423" s="9"/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</row>
    <row r="1424" spans="2:16" x14ac:dyDescent="0.2">
      <c r="B1424" s="9"/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</row>
    <row r="1425" spans="2:16" x14ac:dyDescent="0.2">
      <c r="B1425" s="9"/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</row>
    <row r="1426" spans="2:16" x14ac:dyDescent="0.2">
      <c r="B1426" s="9"/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</row>
    <row r="1427" spans="2:16" x14ac:dyDescent="0.2">
      <c r="B1427" s="9"/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</row>
    <row r="1428" spans="2:16" x14ac:dyDescent="0.2">
      <c r="B1428" s="9"/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</row>
    <row r="1429" spans="2:16" x14ac:dyDescent="0.2">
      <c r="B1429" s="9"/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</row>
    <row r="1430" spans="2:16" x14ac:dyDescent="0.2"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</row>
    <row r="1431" spans="2:16" x14ac:dyDescent="0.2"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</row>
    <row r="1432" spans="2:16" x14ac:dyDescent="0.2">
      <c r="B1432" s="9"/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</row>
    <row r="1433" spans="2:16" x14ac:dyDescent="0.2">
      <c r="B1433" s="9"/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</row>
    <row r="1434" spans="2:16" x14ac:dyDescent="0.2">
      <c r="B1434" s="9"/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</row>
    <row r="1435" spans="2:16" x14ac:dyDescent="0.2">
      <c r="B1435" s="9"/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</row>
    <row r="1436" spans="2:16" x14ac:dyDescent="0.2">
      <c r="B1436" s="9"/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</row>
    <row r="1437" spans="2:16" x14ac:dyDescent="0.2">
      <c r="B1437" s="9"/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</row>
    <row r="1438" spans="2:16" x14ac:dyDescent="0.2">
      <c r="B1438" s="9"/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</row>
    <row r="1439" spans="2:16" x14ac:dyDescent="0.2">
      <c r="B1439" s="9"/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</row>
    <row r="1440" spans="2:16" x14ac:dyDescent="0.2">
      <c r="B1440" s="9"/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</row>
    <row r="1441" spans="2:16" x14ac:dyDescent="0.2">
      <c r="B1441" s="9"/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</row>
    <row r="1442" spans="2:16" x14ac:dyDescent="0.2">
      <c r="B1442" s="9"/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</row>
    <row r="1443" spans="2:16" x14ac:dyDescent="0.2">
      <c r="B1443" s="9"/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</row>
    <row r="1444" spans="2:16" x14ac:dyDescent="0.2">
      <c r="B1444" s="9"/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</row>
    <row r="1445" spans="2:16" x14ac:dyDescent="0.2">
      <c r="B1445" s="9"/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</row>
    <row r="1446" spans="2:16" x14ac:dyDescent="0.2">
      <c r="B1446" s="9"/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</row>
    <row r="1447" spans="2:16" x14ac:dyDescent="0.2"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</row>
    <row r="1448" spans="2:16" x14ac:dyDescent="0.2"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</row>
    <row r="1449" spans="2:16" x14ac:dyDescent="0.2">
      <c r="B1449" s="9"/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</row>
    <row r="1450" spans="2:16" x14ac:dyDescent="0.2">
      <c r="B1450" s="9"/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</row>
    <row r="1451" spans="2:16" x14ac:dyDescent="0.2">
      <c r="B1451" s="9"/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</row>
    <row r="1452" spans="2:16" x14ac:dyDescent="0.2">
      <c r="B1452" s="9"/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</row>
    <row r="1453" spans="2:16" x14ac:dyDescent="0.2">
      <c r="B1453" s="9"/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</row>
    <row r="1454" spans="2:16" x14ac:dyDescent="0.2">
      <c r="B1454" s="9"/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</row>
    <row r="1455" spans="2:16" x14ac:dyDescent="0.2">
      <c r="B1455" s="9"/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</row>
    <row r="1456" spans="2:16" x14ac:dyDescent="0.2">
      <c r="B1456" s="9"/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</row>
    <row r="1457" spans="2:16" x14ac:dyDescent="0.2">
      <c r="B1457" s="9"/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</row>
    <row r="1458" spans="2:16" x14ac:dyDescent="0.2">
      <c r="B1458" s="9"/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</row>
    <row r="1459" spans="2:16" x14ac:dyDescent="0.2">
      <c r="B1459" s="9"/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</row>
    <row r="1460" spans="2:16" x14ac:dyDescent="0.2">
      <c r="B1460" s="9"/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</row>
    <row r="1461" spans="2:16" x14ac:dyDescent="0.2">
      <c r="B1461" s="9"/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</row>
    <row r="1462" spans="2:16" x14ac:dyDescent="0.2"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</row>
    <row r="1463" spans="2:16" x14ac:dyDescent="0.2">
      <c r="B1463" s="9"/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</row>
    <row r="1464" spans="2:16" x14ac:dyDescent="0.2"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</row>
    <row r="1465" spans="2:16" x14ac:dyDescent="0.2"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</row>
    <row r="1466" spans="2:16" x14ac:dyDescent="0.2">
      <c r="B1466" s="9"/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</row>
    <row r="1467" spans="2:16" x14ac:dyDescent="0.2">
      <c r="B1467" s="9"/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</row>
    <row r="1468" spans="2:16" x14ac:dyDescent="0.2">
      <c r="B1468" s="9"/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</row>
    <row r="1469" spans="2:16" x14ac:dyDescent="0.2">
      <c r="B1469" s="9"/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</row>
    <row r="1470" spans="2:16" x14ac:dyDescent="0.2">
      <c r="B1470" s="9"/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</row>
    <row r="1471" spans="2:16" x14ac:dyDescent="0.2">
      <c r="B1471" s="9"/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</row>
    <row r="1472" spans="2:16" x14ac:dyDescent="0.2">
      <c r="B1472" s="9"/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</row>
    <row r="1473" spans="2:16" x14ac:dyDescent="0.2">
      <c r="B1473" s="9"/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</row>
    <row r="1474" spans="2:16" x14ac:dyDescent="0.2">
      <c r="B1474" s="9"/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</row>
    <row r="1475" spans="2:16" x14ac:dyDescent="0.2">
      <c r="B1475" s="9"/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</row>
    <row r="1476" spans="2:16" x14ac:dyDescent="0.2"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</row>
    <row r="1477" spans="2:16" x14ac:dyDescent="0.2">
      <c r="B1477" s="9"/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</row>
    <row r="1478" spans="2:16" x14ac:dyDescent="0.2">
      <c r="B1478" s="9"/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</row>
    <row r="1479" spans="2:16" x14ac:dyDescent="0.2">
      <c r="B1479" s="9"/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</row>
    <row r="1480" spans="2:16" x14ac:dyDescent="0.2">
      <c r="B1480" s="9"/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</row>
    <row r="1481" spans="2:16" x14ac:dyDescent="0.2"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</row>
    <row r="1482" spans="2:16" x14ac:dyDescent="0.2"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</row>
    <row r="1483" spans="2:16" x14ac:dyDescent="0.2"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</row>
    <row r="1484" spans="2:16" x14ac:dyDescent="0.2"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</row>
    <row r="1485" spans="2:16" x14ac:dyDescent="0.2"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</row>
    <row r="1486" spans="2:16" x14ac:dyDescent="0.2"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</row>
    <row r="1487" spans="2:16" x14ac:dyDescent="0.2"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</row>
    <row r="1488" spans="2:16" x14ac:dyDescent="0.2"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</row>
    <row r="1489" spans="2:16" x14ac:dyDescent="0.2"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</row>
    <row r="1490" spans="2:16" x14ac:dyDescent="0.2"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</row>
    <row r="1491" spans="2:16" x14ac:dyDescent="0.2"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</row>
    <row r="1492" spans="2:16" x14ac:dyDescent="0.2"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</row>
    <row r="1493" spans="2:16" x14ac:dyDescent="0.2"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</row>
    <row r="1494" spans="2:16" x14ac:dyDescent="0.2"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</row>
    <row r="1495" spans="2:16" x14ac:dyDescent="0.2"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</row>
    <row r="1496" spans="2:16" x14ac:dyDescent="0.2"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</row>
    <row r="1497" spans="2:16" x14ac:dyDescent="0.2"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</row>
    <row r="1498" spans="2:16" x14ac:dyDescent="0.2"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</row>
    <row r="1499" spans="2:16" x14ac:dyDescent="0.2"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</row>
    <row r="1500" spans="2:16" x14ac:dyDescent="0.2"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</row>
    <row r="1501" spans="2:16" x14ac:dyDescent="0.2"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</row>
    <row r="1502" spans="2:16" x14ac:dyDescent="0.2"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</row>
    <row r="1503" spans="2:16" x14ac:dyDescent="0.2"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</row>
    <row r="1504" spans="2:16" x14ac:dyDescent="0.2"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</row>
    <row r="1505" spans="2:16" x14ac:dyDescent="0.2"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</row>
    <row r="1506" spans="2:16" x14ac:dyDescent="0.2"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</row>
    <row r="1507" spans="2:16" x14ac:dyDescent="0.2"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</row>
    <row r="1508" spans="2:16" x14ac:dyDescent="0.2"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</row>
    <row r="1509" spans="2:16" x14ac:dyDescent="0.2"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</row>
    <row r="1510" spans="2:16" x14ac:dyDescent="0.2"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</row>
    <row r="1511" spans="2:16" x14ac:dyDescent="0.2"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</row>
    <row r="1512" spans="2:16" x14ac:dyDescent="0.2"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</row>
    <row r="1513" spans="2:16" x14ac:dyDescent="0.2"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</row>
    <row r="1514" spans="2:16" x14ac:dyDescent="0.2"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</row>
    <row r="1515" spans="2:16" x14ac:dyDescent="0.2"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</row>
    <row r="1516" spans="2:16" x14ac:dyDescent="0.2"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</row>
    <row r="1517" spans="2:16" x14ac:dyDescent="0.2"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</row>
    <row r="1518" spans="2:16" x14ac:dyDescent="0.2"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</row>
    <row r="1519" spans="2:16" x14ac:dyDescent="0.2"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</row>
    <row r="1520" spans="2:16" x14ac:dyDescent="0.2"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</row>
    <row r="1521" spans="2:16" x14ac:dyDescent="0.2"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</row>
    <row r="1522" spans="2:16" x14ac:dyDescent="0.2"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</row>
    <row r="1523" spans="2:16" x14ac:dyDescent="0.2"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</row>
    <row r="1524" spans="2:16" x14ac:dyDescent="0.2"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</row>
    <row r="1525" spans="2:16" x14ac:dyDescent="0.2"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</row>
    <row r="1526" spans="2:16" x14ac:dyDescent="0.2"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</row>
    <row r="1527" spans="2:16" x14ac:dyDescent="0.2"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</row>
    <row r="1528" spans="2:16" x14ac:dyDescent="0.2"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</row>
    <row r="1529" spans="2:16" x14ac:dyDescent="0.2"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</row>
    <row r="1530" spans="2:16" x14ac:dyDescent="0.2"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</row>
    <row r="1531" spans="2:16" x14ac:dyDescent="0.2"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</row>
    <row r="1532" spans="2:16" x14ac:dyDescent="0.2"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</row>
    <row r="1533" spans="2:16" x14ac:dyDescent="0.2"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</row>
    <row r="1534" spans="2:16" x14ac:dyDescent="0.2"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</row>
    <row r="1535" spans="2:16" x14ac:dyDescent="0.2"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</row>
    <row r="1536" spans="2:16" x14ac:dyDescent="0.2"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</row>
    <row r="1537" spans="2:16" x14ac:dyDescent="0.2"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</row>
    <row r="1538" spans="2:16" x14ac:dyDescent="0.2"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</row>
    <row r="1539" spans="2:16" x14ac:dyDescent="0.2"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</row>
    <row r="1540" spans="2:16" x14ac:dyDescent="0.2"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</row>
    <row r="1541" spans="2:16" x14ac:dyDescent="0.2"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</row>
    <row r="1542" spans="2:16" x14ac:dyDescent="0.2"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</row>
    <row r="1543" spans="2:16" x14ac:dyDescent="0.2"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</row>
    <row r="1544" spans="2:16" x14ac:dyDescent="0.2"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</row>
    <row r="1545" spans="2:16" x14ac:dyDescent="0.2"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</row>
    <row r="1546" spans="2:16" x14ac:dyDescent="0.2"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</row>
    <row r="1547" spans="2:16" x14ac:dyDescent="0.2"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</row>
    <row r="1548" spans="2:16" x14ac:dyDescent="0.2">
      <c r="B1548" s="9"/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</row>
    <row r="1549" spans="2:16" x14ac:dyDescent="0.2">
      <c r="B1549" s="9"/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</row>
    <row r="1550" spans="2:16" x14ac:dyDescent="0.2">
      <c r="B1550" s="9"/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</row>
    <row r="1551" spans="2:16" x14ac:dyDescent="0.2">
      <c r="B1551" s="9"/>
      <c r="C1551" s="9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</row>
    <row r="1552" spans="2:16" x14ac:dyDescent="0.2">
      <c r="B1552" s="9"/>
      <c r="C1552" s="9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</row>
    <row r="1553" spans="2:16" x14ac:dyDescent="0.2">
      <c r="B1553" s="9"/>
      <c r="C1553" s="9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</row>
    <row r="1554" spans="2:16" x14ac:dyDescent="0.2">
      <c r="B1554" s="9"/>
      <c r="C1554" s="9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</row>
    <row r="1555" spans="2:16" x14ac:dyDescent="0.2">
      <c r="B1555" s="9"/>
      <c r="C1555" s="9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</row>
    <row r="1556" spans="2:16" x14ac:dyDescent="0.2">
      <c r="B1556" s="9"/>
      <c r="C1556" s="9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</row>
    <row r="1557" spans="2:16" x14ac:dyDescent="0.2">
      <c r="B1557" s="9"/>
      <c r="C1557" s="9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</row>
    <row r="1558" spans="2:16" x14ac:dyDescent="0.2">
      <c r="B1558" s="9"/>
      <c r="C1558" s="9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</row>
    <row r="1559" spans="2:16" x14ac:dyDescent="0.2">
      <c r="B1559" s="9"/>
      <c r="C1559" s="9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</row>
    <row r="1560" spans="2:16" x14ac:dyDescent="0.2">
      <c r="B1560" s="9"/>
      <c r="C1560" s="9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</row>
    <row r="1561" spans="2:16" x14ac:dyDescent="0.2">
      <c r="B1561" s="9"/>
      <c r="C1561" s="9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</row>
    <row r="1562" spans="2:16" x14ac:dyDescent="0.2">
      <c r="B1562" s="9"/>
      <c r="C1562" s="9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</row>
    <row r="1563" spans="2:16" x14ac:dyDescent="0.2">
      <c r="B1563" s="9"/>
      <c r="C1563" s="9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</row>
    <row r="1564" spans="2:16" x14ac:dyDescent="0.2">
      <c r="B1564" s="9"/>
      <c r="C1564" s="9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</row>
    <row r="1565" spans="2:16" x14ac:dyDescent="0.2">
      <c r="B1565" s="9"/>
      <c r="C1565" s="9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</row>
    <row r="1566" spans="2:16" x14ac:dyDescent="0.2">
      <c r="B1566" s="9"/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</row>
    <row r="1567" spans="2:16" x14ac:dyDescent="0.2">
      <c r="B1567" s="9"/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</row>
    <row r="1568" spans="2:16" x14ac:dyDescent="0.2">
      <c r="B1568" s="9"/>
      <c r="C1568" s="9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</row>
    <row r="1569" spans="2:16" x14ac:dyDescent="0.2">
      <c r="B1569" s="9"/>
      <c r="C1569" s="9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</row>
    <row r="1570" spans="2:16" x14ac:dyDescent="0.2">
      <c r="B1570" s="9"/>
      <c r="C1570" s="9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</row>
    <row r="1571" spans="2:16" x14ac:dyDescent="0.2">
      <c r="B1571" s="9"/>
      <c r="C1571" s="9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</row>
    <row r="1572" spans="2:16" x14ac:dyDescent="0.2">
      <c r="B1572" s="9"/>
      <c r="C1572" s="9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</row>
    <row r="1573" spans="2:16" x14ac:dyDescent="0.2">
      <c r="B1573" s="9"/>
      <c r="C1573" s="9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</row>
    <row r="1574" spans="2:16" x14ac:dyDescent="0.2">
      <c r="B1574" s="9"/>
      <c r="C1574" s="9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</row>
    <row r="1575" spans="2:16" x14ac:dyDescent="0.2">
      <c r="B1575" s="9"/>
      <c r="C1575" s="9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</row>
    <row r="1576" spans="2:16" x14ac:dyDescent="0.2">
      <c r="B1576" s="9"/>
      <c r="C1576" s="9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</row>
    <row r="1577" spans="2:16" x14ac:dyDescent="0.2">
      <c r="B1577" s="9"/>
      <c r="C1577" s="9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</row>
    <row r="1578" spans="2:16" x14ac:dyDescent="0.2">
      <c r="B1578" s="9"/>
      <c r="C1578" s="9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</row>
    <row r="1579" spans="2:16" x14ac:dyDescent="0.2">
      <c r="B1579" s="9"/>
      <c r="C1579" s="9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</row>
    <row r="1580" spans="2:16" x14ac:dyDescent="0.2">
      <c r="B1580" s="9"/>
      <c r="C1580" s="9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</row>
    <row r="1581" spans="2:16" x14ac:dyDescent="0.2">
      <c r="B1581" s="9"/>
      <c r="C1581" s="9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</row>
    <row r="1582" spans="2:16" x14ac:dyDescent="0.2">
      <c r="B1582" s="9"/>
      <c r="C1582" s="9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</row>
    <row r="1583" spans="2:16" x14ac:dyDescent="0.2">
      <c r="B1583" s="9"/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</row>
    <row r="1584" spans="2:16" x14ac:dyDescent="0.2">
      <c r="B1584" s="9"/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</row>
    <row r="1585" spans="2:16" x14ac:dyDescent="0.2">
      <c r="B1585" s="9"/>
      <c r="C1585" s="9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</row>
    <row r="1586" spans="2:16" x14ac:dyDescent="0.2">
      <c r="B1586" s="9"/>
      <c r="C1586" s="9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</row>
    <row r="1587" spans="2:16" x14ac:dyDescent="0.2">
      <c r="B1587" s="9"/>
      <c r="C1587" s="9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</row>
    <row r="1588" spans="2:16" x14ac:dyDescent="0.2">
      <c r="B1588" s="9"/>
      <c r="C1588" s="9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</row>
    <row r="1589" spans="2:16" x14ac:dyDescent="0.2">
      <c r="B1589" s="9"/>
      <c r="C1589" s="9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</row>
    <row r="1590" spans="2:16" x14ac:dyDescent="0.2">
      <c r="B1590" s="9"/>
      <c r="C1590" s="9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</row>
    <row r="1591" spans="2:16" x14ac:dyDescent="0.2">
      <c r="B1591" s="9"/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</row>
    <row r="1592" spans="2:16" x14ac:dyDescent="0.2">
      <c r="B1592" s="9"/>
      <c r="C1592" s="9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</row>
    <row r="1593" spans="2:16" x14ac:dyDescent="0.2">
      <c r="B1593" s="9"/>
      <c r="C1593" s="9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</row>
    <row r="1594" spans="2:16" x14ac:dyDescent="0.2">
      <c r="B1594" s="9"/>
      <c r="C1594" s="9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</row>
    <row r="1595" spans="2:16" x14ac:dyDescent="0.2">
      <c r="B1595" s="9"/>
      <c r="C1595" s="9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</row>
    <row r="1596" spans="2:16" x14ac:dyDescent="0.2">
      <c r="B1596" s="9"/>
      <c r="C1596" s="9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</row>
    <row r="1597" spans="2:16" x14ac:dyDescent="0.2">
      <c r="B1597" s="9"/>
      <c r="C1597" s="9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</row>
    <row r="1598" spans="2:16" x14ac:dyDescent="0.2">
      <c r="B1598" s="9"/>
      <c r="C1598" s="9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</row>
    <row r="1599" spans="2:16" x14ac:dyDescent="0.2">
      <c r="B1599" s="9"/>
      <c r="C1599" s="9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</row>
    <row r="1600" spans="2:16" x14ac:dyDescent="0.2">
      <c r="B1600" s="9"/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</row>
    <row r="1601" spans="2:16" x14ac:dyDescent="0.2">
      <c r="B1601" s="9"/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</row>
    <row r="1602" spans="2:16" x14ac:dyDescent="0.2">
      <c r="B1602" s="9"/>
      <c r="C1602" s="9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</row>
    <row r="1603" spans="2:16" x14ac:dyDescent="0.2">
      <c r="B1603" s="9"/>
      <c r="C1603" s="9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</row>
    <row r="1604" spans="2:16" x14ac:dyDescent="0.2">
      <c r="B1604" s="9"/>
      <c r="C1604" s="9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</row>
    <row r="1605" spans="2:16" x14ac:dyDescent="0.2">
      <c r="B1605" s="9"/>
      <c r="C1605" s="9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</row>
    <row r="1606" spans="2:16" x14ac:dyDescent="0.2">
      <c r="B1606" s="9"/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</row>
    <row r="1607" spans="2:16" x14ac:dyDescent="0.2">
      <c r="B1607" s="9"/>
      <c r="C1607" s="9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</row>
    <row r="1608" spans="2:16" x14ac:dyDescent="0.2">
      <c r="B1608" s="9"/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</row>
    <row r="1609" spans="2:16" x14ac:dyDescent="0.2">
      <c r="B1609" s="9"/>
      <c r="C1609" s="9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</row>
    <row r="1610" spans="2:16" x14ac:dyDescent="0.2">
      <c r="B1610" s="9"/>
      <c r="C1610" s="9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</row>
    <row r="1611" spans="2:16" x14ac:dyDescent="0.2">
      <c r="B1611" s="9"/>
      <c r="C1611" s="9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</row>
    <row r="1612" spans="2:16" x14ac:dyDescent="0.2">
      <c r="B1612" s="9"/>
      <c r="C1612" s="9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</row>
    <row r="1613" spans="2:16" x14ac:dyDescent="0.2">
      <c r="B1613" s="9"/>
      <c r="C1613" s="9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</row>
    <row r="1614" spans="2:16" x14ac:dyDescent="0.2">
      <c r="B1614" s="9"/>
      <c r="C1614" s="9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</row>
    <row r="1615" spans="2:16" x14ac:dyDescent="0.2">
      <c r="B1615" s="9"/>
      <c r="C1615" s="9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</row>
    <row r="1616" spans="2:16" x14ac:dyDescent="0.2">
      <c r="B1616" s="9"/>
      <c r="C1616" s="9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</row>
    <row r="1617" spans="2:16" x14ac:dyDescent="0.2">
      <c r="B1617" s="9"/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</row>
    <row r="1618" spans="2:16" x14ac:dyDescent="0.2">
      <c r="B1618" s="9"/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</row>
    <row r="1619" spans="2:16" x14ac:dyDescent="0.2">
      <c r="B1619" s="9"/>
      <c r="C1619" s="9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</row>
    <row r="1620" spans="2:16" x14ac:dyDescent="0.2">
      <c r="B1620" s="9"/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</row>
    <row r="1621" spans="2:16" x14ac:dyDescent="0.2">
      <c r="B1621" s="9"/>
      <c r="C1621" s="9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</row>
    <row r="1622" spans="2:16" x14ac:dyDescent="0.2">
      <c r="B1622" s="9"/>
      <c r="C1622" s="9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</row>
    <row r="1623" spans="2:16" x14ac:dyDescent="0.2">
      <c r="B1623" s="9"/>
      <c r="C1623" s="9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</row>
    <row r="1624" spans="2:16" x14ac:dyDescent="0.2">
      <c r="B1624" s="9"/>
      <c r="C1624" s="9"/>
      <c r="D1624" s="9"/>
      <c r="E1624" s="9"/>
      <c r="F1624" s="9"/>
      <c r="G1624" s="9"/>
      <c r="H1624" s="9"/>
      <c r="I1624" s="9"/>
      <c r="J1624" s="9"/>
      <c r="K1624" s="9"/>
      <c r="L1624" s="9"/>
      <c r="M1624" s="9"/>
      <c r="N1624" s="9"/>
      <c r="O1624" s="9"/>
      <c r="P1624" s="9"/>
    </row>
    <row r="1625" spans="2:16" x14ac:dyDescent="0.2">
      <c r="B1625" s="9"/>
      <c r="C1625" s="9"/>
      <c r="D1625" s="9"/>
      <c r="E1625" s="9"/>
      <c r="F1625" s="9"/>
      <c r="G1625" s="9"/>
      <c r="H1625" s="9"/>
      <c r="I1625" s="9"/>
      <c r="J1625" s="9"/>
      <c r="K1625" s="9"/>
      <c r="L1625" s="9"/>
      <c r="M1625" s="9"/>
      <c r="N1625" s="9"/>
      <c r="O1625" s="9"/>
      <c r="P1625" s="9"/>
    </row>
    <row r="1626" spans="2:16" x14ac:dyDescent="0.2">
      <c r="B1626" s="9"/>
      <c r="C1626" s="9"/>
      <c r="D1626" s="9"/>
      <c r="E1626" s="9"/>
      <c r="F1626" s="9"/>
      <c r="G1626" s="9"/>
      <c r="H1626" s="9"/>
      <c r="I1626" s="9"/>
      <c r="J1626" s="9"/>
      <c r="K1626" s="9"/>
      <c r="L1626" s="9"/>
      <c r="M1626" s="9"/>
      <c r="N1626" s="9"/>
      <c r="O1626" s="9"/>
      <c r="P1626" s="9"/>
    </row>
    <row r="1627" spans="2:16" x14ac:dyDescent="0.2">
      <c r="B1627" s="9"/>
      <c r="C1627" s="9"/>
      <c r="D1627" s="9"/>
      <c r="E1627" s="9"/>
      <c r="F1627" s="9"/>
      <c r="G1627" s="9"/>
      <c r="H1627" s="9"/>
      <c r="I1627" s="9"/>
      <c r="J1627" s="9"/>
      <c r="K1627" s="9"/>
      <c r="L1627" s="9"/>
      <c r="M1627" s="9"/>
      <c r="N1627" s="9"/>
      <c r="O1627" s="9"/>
      <c r="P1627" s="9"/>
    </row>
    <row r="1628" spans="2:16" x14ac:dyDescent="0.2">
      <c r="B1628" s="9"/>
      <c r="C1628" s="9"/>
      <c r="D1628" s="9"/>
      <c r="E1628" s="9"/>
      <c r="F1628" s="9"/>
      <c r="G1628" s="9"/>
      <c r="H1628" s="9"/>
      <c r="I1628" s="9"/>
      <c r="J1628" s="9"/>
      <c r="K1628" s="9"/>
      <c r="L1628" s="9"/>
      <c r="M1628" s="9"/>
      <c r="N1628" s="9"/>
      <c r="O1628" s="9"/>
      <c r="P1628" s="9"/>
    </row>
    <row r="1629" spans="2:16" x14ac:dyDescent="0.2">
      <c r="B1629" s="9"/>
      <c r="C1629" s="9"/>
      <c r="D1629" s="9"/>
      <c r="E1629" s="9"/>
      <c r="F1629" s="9"/>
      <c r="G1629" s="9"/>
      <c r="H1629" s="9"/>
      <c r="I1629" s="9"/>
      <c r="J1629" s="9"/>
      <c r="K1629" s="9"/>
      <c r="L1629" s="9"/>
      <c r="M1629" s="9"/>
      <c r="N1629" s="9"/>
      <c r="O1629" s="9"/>
      <c r="P1629" s="9"/>
    </row>
    <row r="1630" spans="2:16" x14ac:dyDescent="0.2">
      <c r="B1630" s="9"/>
      <c r="C1630" s="9"/>
      <c r="D1630" s="9"/>
      <c r="E1630" s="9"/>
      <c r="F1630" s="9"/>
      <c r="G1630" s="9"/>
      <c r="H1630" s="9"/>
      <c r="I1630" s="9"/>
      <c r="J1630" s="9"/>
      <c r="K1630" s="9"/>
      <c r="L1630" s="9"/>
      <c r="M1630" s="9"/>
      <c r="N1630" s="9"/>
      <c r="O1630" s="9"/>
      <c r="P1630" s="9"/>
    </row>
    <row r="1631" spans="2:16" x14ac:dyDescent="0.2">
      <c r="B1631" s="9"/>
      <c r="C1631" s="9"/>
      <c r="D1631" s="9"/>
      <c r="E1631" s="9"/>
      <c r="F1631" s="9"/>
      <c r="G1631" s="9"/>
      <c r="H1631" s="9"/>
      <c r="I1631" s="9"/>
      <c r="J1631" s="9"/>
      <c r="K1631" s="9"/>
      <c r="L1631" s="9"/>
      <c r="M1631" s="9"/>
      <c r="N1631" s="9"/>
      <c r="O1631" s="9"/>
      <c r="P1631" s="9"/>
    </row>
    <row r="1632" spans="2:16" x14ac:dyDescent="0.2">
      <c r="B1632" s="9"/>
      <c r="C1632" s="9"/>
      <c r="D1632" s="9"/>
      <c r="E1632" s="9"/>
      <c r="F1632" s="9"/>
      <c r="G1632" s="9"/>
      <c r="H1632" s="9"/>
      <c r="I1632" s="9"/>
      <c r="J1632" s="9"/>
      <c r="K1632" s="9"/>
      <c r="L1632" s="9"/>
      <c r="M1632" s="9"/>
      <c r="N1632" s="9"/>
      <c r="O1632" s="9"/>
      <c r="P1632" s="9"/>
    </row>
    <row r="1633" spans="2:16" x14ac:dyDescent="0.2">
      <c r="B1633" s="9"/>
      <c r="C1633" s="9"/>
      <c r="D1633" s="9"/>
      <c r="E1633" s="9"/>
      <c r="F1633" s="9"/>
      <c r="G1633" s="9"/>
      <c r="H1633" s="9"/>
      <c r="I1633" s="9"/>
      <c r="J1633" s="9"/>
      <c r="K1633" s="9"/>
      <c r="L1633" s="9"/>
      <c r="M1633" s="9"/>
      <c r="N1633" s="9"/>
      <c r="O1633" s="9"/>
      <c r="P1633" s="9"/>
    </row>
    <row r="1634" spans="2:16" x14ac:dyDescent="0.2">
      <c r="B1634" s="9"/>
      <c r="C1634" s="9"/>
      <c r="D1634" s="9"/>
      <c r="E1634" s="9"/>
      <c r="F1634" s="9"/>
      <c r="G1634" s="9"/>
      <c r="H1634" s="9"/>
      <c r="I1634" s="9"/>
      <c r="J1634" s="9"/>
      <c r="K1634" s="9"/>
      <c r="L1634" s="9"/>
      <c r="M1634" s="9"/>
      <c r="N1634" s="9"/>
      <c r="O1634" s="9"/>
      <c r="P1634" s="9"/>
    </row>
    <row r="1635" spans="2:16" x14ac:dyDescent="0.2">
      <c r="B1635" s="9"/>
      <c r="C1635" s="9"/>
      <c r="D1635" s="9"/>
      <c r="E1635" s="9"/>
      <c r="F1635" s="9"/>
      <c r="G1635" s="9"/>
      <c r="H1635" s="9"/>
      <c r="I1635" s="9"/>
      <c r="J1635" s="9"/>
      <c r="K1635" s="9"/>
      <c r="L1635" s="9"/>
      <c r="M1635" s="9"/>
      <c r="N1635" s="9"/>
      <c r="O1635" s="9"/>
      <c r="P1635" s="9"/>
    </row>
    <row r="1636" spans="2:16" x14ac:dyDescent="0.2">
      <c r="B1636" s="9"/>
      <c r="C1636" s="9"/>
      <c r="D1636" s="9"/>
      <c r="E1636" s="9"/>
      <c r="F1636" s="9"/>
      <c r="G1636" s="9"/>
      <c r="H1636" s="9"/>
      <c r="I1636" s="9"/>
      <c r="J1636" s="9"/>
      <c r="K1636" s="9"/>
      <c r="L1636" s="9"/>
      <c r="M1636" s="9"/>
      <c r="N1636" s="9"/>
      <c r="O1636" s="9"/>
      <c r="P1636" s="9"/>
    </row>
    <row r="1637" spans="2:16" x14ac:dyDescent="0.2">
      <c r="B1637" s="9"/>
      <c r="C1637" s="9"/>
      <c r="D1637" s="9"/>
      <c r="E1637" s="9"/>
      <c r="F1637" s="9"/>
      <c r="G1637" s="9"/>
      <c r="H1637" s="9"/>
      <c r="I1637" s="9"/>
      <c r="J1637" s="9"/>
      <c r="K1637" s="9"/>
      <c r="L1637" s="9"/>
      <c r="M1637" s="9"/>
      <c r="N1637" s="9"/>
      <c r="O1637" s="9"/>
      <c r="P1637" s="9"/>
    </row>
    <row r="1638" spans="2:16" x14ac:dyDescent="0.2">
      <c r="B1638" s="9"/>
      <c r="C1638" s="9"/>
      <c r="D1638" s="9"/>
      <c r="E1638" s="9"/>
      <c r="F1638" s="9"/>
      <c r="G1638" s="9"/>
      <c r="H1638" s="9"/>
      <c r="I1638" s="9"/>
      <c r="J1638" s="9"/>
      <c r="K1638" s="9"/>
      <c r="L1638" s="9"/>
      <c r="M1638" s="9"/>
      <c r="N1638" s="9"/>
      <c r="O1638" s="9"/>
      <c r="P1638" s="9"/>
    </row>
    <row r="1639" spans="2:16" x14ac:dyDescent="0.2">
      <c r="B1639" s="9"/>
      <c r="C1639" s="9"/>
      <c r="D1639" s="9"/>
      <c r="E1639" s="9"/>
      <c r="F1639" s="9"/>
      <c r="G1639" s="9"/>
      <c r="H1639" s="9"/>
      <c r="I1639" s="9"/>
      <c r="J1639" s="9"/>
      <c r="K1639" s="9"/>
      <c r="L1639" s="9"/>
      <c r="M1639" s="9"/>
      <c r="N1639" s="9"/>
      <c r="O1639" s="9"/>
      <c r="P1639" s="9"/>
    </row>
    <row r="1640" spans="2:16" x14ac:dyDescent="0.2">
      <c r="B1640" s="9"/>
      <c r="C1640" s="9"/>
      <c r="D1640" s="9"/>
      <c r="E1640" s="9"/>
      <c r="F1640" s="9"/>
      <c r="G1640" s="9"/>
      <c r="H1640" s="9"/>
      <c r="I1640" s="9"/>
      <c r="J1640" s="9"/>
      <c r="K1640" s="9"/>
      <c r="L1640" s="9"/>
      <c r="M1640" s="9"/>
      <c r="N1640" s="9"/>
      <c r="O1640" s="9"/>
      <c r="P1640" s="9"/>
    </row>
    <row r="1641" spans="2:16" x14ac:dyDescent="0.2">
      <c r="B1641" s="9"/>
      <c r="C1641" s="9"/>
      <c r="D1641" s="9"/>
      <c r="E1641" s="9"/>
      <c r="F1641" s="9"/>
      <c r="G1641" s="9"/>
      <c r="H1641" s="9"/>
      <c r="I1641" s="9"/>
      <c r="J1641" s="9"/>
      <c r="K1641" s="9"/>
      <c r="L1641" s="9"/>
      <c r="M1641" s="9"/>
      <c r="N1641" s="9"/>
      <c r="O1641" s="9"/>
      <c r="P1641" s="9"/>
    </row>
    <row r="1642" spans="2:16" x14ac:dyDescent="0.2">
      <c r="B1642" s="9"/>
      <c r="C1642" s="9"/>
      <c r="D1642" s="9"/>
      <c r="E1642" s="9"/>
      <c r="F1642" s="9"/>
      <c r="G1642" s="9"/>
      <c r="H1642" s="9"/>
      <c r="I1642" s="9"/>
      <c r="J1642" s="9"/>
      <c r="K1642" s="9"/>
      <c r="L1642" s="9"/>
      <c r="M1642" s="9"/>
      <c r="N1642" s="9"/>
      <c r="O1642" s="9"/>
      <c r="P1642" s="9"/>
    </row>
    <row r="1643" spans="2:16" x14ac:dyDescent="0.2">
      <c r="B1643" s="9"/>
      <c r="C1643" s="9"/>
      <c r="D1643" s="9"/>
      <c r="E1643" s="9"/>
      <c r="F1643" s="9"/>
      <c r="G1643" s="9"/>
      <c r="H1643" s="9"/>
      <c r="I1643" s="9"/>
      <c r="J1643" s="9"/>
      <c r="K1643" s="9"/>
      <c r="L1643" s="9"/>
      <c r="M1643" s="9"/>
      <c r="N1643" s="9"/>
      <c r="O1643" s="9"/>
      <c r="P1643" s="9"/>
    </row>
    <row r="1644" spans="2:16" x14ac:dyDescent="0.2">
      <c r="B1644" s="9"/>
      <c r="C1644" s="9"/>
      <c r="D1644" s="9"/>
      <c r="E1644" s="9"/>
      <c r="F1644" s="9"/>
      <c r="G1644" s="9"/>
      <c r="H1644" s="9"/>
      <c r="I1644" s="9"/>
      <c r="J1644" s="9"/>
      <c r="K1644" s="9"/>
      <c r="L1644" s="9"/>
      <c r="M1644" s="9"/>
      <c r="N1644" s="9"/>
      <c r="O1644" s="9"/>
      <c r="P1644" s="9"/>
    </row>
    <row r="1645" spans="2:16" x14ac:dyDescent="0.2">
      <c r="B1645" s="9"/>
      <c r="C1645" s="9"/>
      <c r="D1645" s="9"/>
      <c r="E1645" s="9"/>
      <c r="F1645" s="9"/>
      <c r="G1645" s="9"/>
      <c r="H1645" s="9"/>
      <c r="I1645" s="9"/>
      <c r="J1645" s="9"/>
      <c r="K1645" s="9"/>
      <c r="L1645" s="9"/>
      <c r="M1645" s="9"/>
      <c r="N1645" s="9"/>
      <c r="O1645" s="9"/>
      <c r="P1645" s="9"/>
    </row>
    <row r="1646" spans="2:16" x14ac:dyDescent="0.2">
      <c r="B1646" s="9"/>
      <c r="C1646" s="9"/>
      <c r="D1646" s="9"/>
      <c r="E1646" s="9"/>
      <c r="F1646" s="9"/>
      <c r="G1646" s="9"/>
      <c r="H1646" s="9"/>
      <c r="I1646" s="9"/>
      <c r="J1646" s="9"/>
      <c r="K1646" s="9"/>
      <c r="L1646" s="9"/>
      <c r="M1646" s="9"/>
      <c r="N1646" s="9"/>
      <c r="O1646" s="9"/>
      <c r="P1646" s="9"/>
    </row>
    <row r="1647" spans="2:16" x14ac:dyDescent="0.2">
      <c r="B1647" s="9"/>
      <c r="C1647" s="9"/>
      <c r="D1647" s="9"/>
      <c r="E1647" s="9"/>
      <c r="F1647" s="9"/>
      <c r="G1647" s="9"/>
      <c r="H1647" s="9"/>
      <c r="I1647" s="9"/>
      <c r="J1647" s="9"/>
      <c r="K1647" s="9"/>
      <c r="L1647" s="9"/>
      <c r="M1647" s="9"/>
      <c r="N1647" s="9"/>
      <c r="O1647" s="9"/>
      <c r="P1647" s="9"/>
    </row>
    <row r="1648" spans="2:16" x14ac:dyDescent="0.2">
      <c r="B1648" s="9"/>
      <c r="C1648" s="9"/>
      <c r="D1648" s="9"/>
      <c r="E1648" s="9"/>
      <c r="F1648" s="9"/>
      <c r="G1648" s="9"/>
      <c r="H1648" s="9"/>
      <c r="I1648" s="9"/>
      <c r="J1648" s="9"/>
      <c r="K1648" s="9"/>
      <c r="L1648" s="9"/>
      <c r="M1648" s="9"/>
      <c r="N1648" s="9"/>
      <c r="O1648" s="9"/>
      <c r="P1648" s="9"/>
    </row>
    <row r="1649" spans="2:16" x14ac:dyDescent="0.2">
      <c r="B1649" s="9"/>
      <c r="C1649" s="9"/>
      <c r="D1649" s="9"/>
      <c r="E1649" s="9"/>
      <c r="F1649" s="9"/>
      <c r="G1649" s="9"/>
      <c r="H1649" s="9"/>
      <c r="I1649" s="9"/>
      <c r="J1649" s="9"/>
      <c r="K1649" s="9"/>
      <c r="L1649" s="9"/>
      <c r="M1649" s="9"/>
      <c r="N1649" s="9"/>
      <c r="O1649" s="9"/>
      <c r="P1649" s="9"/>
    </row>
    <row r="1650" spans="2:16" x14ac:dyDescent="0.2">
      <c r="B1650" s="9"/>
      <c r="C1650" s="9"/>
      <c r="D1650" s="9"/>
      <c r="E1650" s="9"/>
      <c r="F1650" s="9"/>
      <c r="G1650" s="9"/>
      <c r="H1650" s="9"/>
      <c r="I1650" s="9"/>
      <c r="J1650" s="9"/>
      <c r="K1650" s="9"/>
      <c r="L1650" s="9"/>
      <c r="M1650" s="9"/>
      <c r="N1650" s="9"/>
      <c r="O1650" s="9"/>
      <c r="P1650" s="9"/>
    </row>
    <row r="1651" spans="2:16" x14ac:dyDescent="0.2">
      <c r="B1651" s="9"/>
      <c r="C1651" s="9"/>
      <c r="D1651" s="9"/>
      <c r="E1651" s="9"/>
      <c r="F1651" s="9"/>
      <c r="G1651" s="9"/>
      <c r="H1651" s="9"/>
      <c r="I1651" s="9"/>
      <c r="J1651" s="9"/>
      <c r="K1651" s="9"/>
      <c r="L1651" s="9"/>
      <c r="M1651" s="9"/>
      <c r="N1651" s="9"/>
      <c r="O1651" s="9"/>
      <c r="P1651" s="9"/>
    </row>
    <row r="1652" spans="2:16" x14ac:dyDescent="0.2">
      <c r="B1652" s="9"/>
      <c r="C1652" s="9"/>
      <c r="D1652" s="9"/>
      <c r="E1652" s="9"/>
      <c r="F1652" s="9"/>
      <c r="G1652" s="9"/>
      <c r="H1652" s="9"/>
      <c r="I1652" s="9"/>
      <c r="J1652" s="9"/>
      <c r="K1652" s="9"/>
      <c r="L1652" s="9"/>
      <c r="M1652" s="9"/>
      <c r="N1652" s="9"/>
      <c r="O1652" s="9"/>
      <c r="P1652" s="9"/>
    </row>
    <row r="1653" spans="2:16" x14ac:dyDescent="0.2">
      <c r="B1653" s="9"/>
      <c r="C1653" s="9"/>
      <c r="D1653" s="9"/>
      <c r="E1653" s="9"/>
      <c r="F1653" s="9"/>
      <c r="G1653" s="9"/>
      <c r="H1653" s="9"/>
      <c r="I1653" s="9"/>
      <c r="J1653" s="9"/>
      <c r="K1653" s="9"/>
      <c r="L1653" s="9"/>
      <c r="M1653" s="9"/>
      <c r="N1653" s="9"/>
      <c r="O1653" s="9"/>
      <c r="P1653" s="9"/>
    </row>
    <row r="1654" spans="2:16" x14ac:dyDescent="0.2">
      <c r="B1654" s="9"/>
      <c r="C1654" s="9"/>
      <c r="D1654" s="9"/>
      <c r="E1654" s="9"/>
      <c r="F1654" s="9"/>
      <c r="G1654" s="9"/>
      <c r="H1654" s="9"/>
      <c r="I1654" s="9"/>
      <c r="J1654" s="9"/>
      <c r="K1654" s="9"/>
      <c r="L1654" s="9"/>
      <c r="M1654" s="9"/>
      <c r="N1654" s="9"/>
      <c r="O1654" s="9"/>
      <c r="P1654" s="9"/>
    </row>
    <row r="1655" spans="2:16" x14ac:dyDescent="0.2">
      <c r="B1655" s="9"/>
      <c r="C1655" s="9"/>
      <c r="D1655" s="9"/>
      <c r="E1655" s="9"/>
      <c r="F1655" s="9"/>
      <c r="G1655" s="9"/>
      <c r="H1655" s="9"/>
      <c r="I1655" s="9"/>
      <c r="J1655" s="9"/>
      <c r="K1655" s="9"/>
      <c r="L1655" s="9"/>
      <c r="M1655" s="9"/>
      <c r="N1655" s="9"/>
      <c r="O1655" s="9"/>
      <c r="P1655" s="9"/>
    </row>
    <row r="1656" spans="2:16" x14ac:dyDescent="0.2">
      <c r="B1656" s="9"/>
      <c r="C1656" s="9"/>
      <c r="D1656" s="9"/>
      <c r="E1656" s="9"/>
      <c r="F1656" s="9"/>
      <c r="G1656" s="9"/>
      <c r="H1656" s="9"/>
      <c r="I1656" s="9"/>
      <c r="J1656" s="9"/>
      <c r="K1656" s="9"/>
      <c r="L1656" s="9"/>
      <c r="M1656" s="9"/>
      <c r="N1656" s="9"/>
      <c r="O1656" s="9"/>
      <c r="P1656" s="9"/>
    </row>
    <row r="1657" spans="2:16" x14ac:dyDescent="0.2">
      <c r="B1657" s="9"/>
      <c r="C1657" s="9"/>
      <c r="D1657" s="9"/>
      <c r="E1657" s="9"/>
      <c r="F1657" s="9"/>
      <c r="G1657" s="9"/>
      <c r="H1657" s="9"/>
      <c r="I1657" s="9"/>
      <c r="J1657" s="9"/>
      <c r="K1657" s="9"/>
      <c r="L1657" s="9"/>
      <c r="M1657" s="9"/>
      <c r="N1657" s="9"/>
      <c r="O1657" s="9"/>
      <c r="P1657" s="9"/>
    </row>
    <row r="1658" spans="2:16" x14ac:dyDescent="0.2">
      <c r="B1658" s="9"/>
      <c r="C1658" s="9"/>
      <c r="D1658" s="9"/>
      <c r="E1658" s="9"/>
      <c r="F1658" s="9"/>
      <c r="G1658" s="9"/>
      <c r="H1658" s="9"/>
      <c r="I1658" s="9"/>
      <c r="J1658" s="9"/>
      <c r="K1658" s="9"/>
      <c r="L1658" s="9"/>
      <c r="M1658" s="9"/>
      <c r="N1658" s="9"/>
      <c r="O1658" s="9"/>
      <c r="P1658" s="9"/>
    </row>
    <row r="1659" spans="2:16" x14ac:dyDescent="0.2">
      <c r="B1659" s="9"/>
      <c r="C1659" s="9"/>
      <c r="D1659" s="9"/>
      <c r="E1659" s="9"/>
      <c r="F1659" s="9"/>
      <c r="G1659" s="9"/>
      <c r="H1659" s="9"/>
      <c r="I1659" s="9"/>
      <c r="J1659" s="9"/>
      <c r="K1659" s="9"/>
      <c r="L1659" s="9"/>
      <c r="M1659" s="9"/>
      <c r="N1659" s="9"/>
      <c r="O1659" s="9"/>
      <c r="P1659" s="9"/>
    </row>
    <row r="1660" spans="2:16" x14ac:dyDescent="0.2">
      <c r="B1660" s="9"/>
      <c r="C1660" s="9"/>
      <c r="D1660" s="9"/>
      <c r="E1660" s="9"/>
      <c r="F1660" s="9"/>
      <c r="G1660" s="9"/>
      <c r="H1660" s="9"/>
      <c r="I1660" s="9"/>
      <c r="J1660" s="9"/>
      <c r="K1660" s="9"/>
      <c r="L1660" s="9"/>
      <c r="M1660" s="9"/>
      <c r="N1660" s="9"/>
      <c r="O1660" s="9"/>
      <c r="P1660" s="9"/>
    </row>
    <row r="1661" spans="2:16" x14ac:dyDescent="0.2">
      <c r="B1661" s="9"/>
      <c r="C1661" s="9"/>
      <c r="D1661" s="9"/>
      <c r="E1661" s="9"/>
      <c r="F1661" s="9"/>
      <c r="G1661" s="9"/>
      <c r="H1661" s="9"/>
      <c r="I1661" s="9"/>
      <c r="J1661" s="9"/>
      <c r="K1661" s="9"/>
      <c r="L1661" s="9"/>
      <c r="M1661" s="9"/>
      <c r="N1661" s="9"/>
      <c r="O1661" s="9"/>
      <c r="P1661" s="9"/>
    </row>
    <row r="1662" spans="2:16" x14ac:dyDescent="0.2">
      <c r="B1662" s="9"/>
      <c r="C1662" s="9"/>
      <c r="D1662" s="9"/>
      <c r="E1662" s="9"/>
      <c r="F1662" s="9"/>
      <c r="G1662" s="9"/>
      <c r="H1662" s="9"/>
      <c r="I1662" s="9"/>
      <c r="J1662" s="9"/>
      <c r="K1662" s="9"/>
      <c r="L1662" s="9"/>
      <c r="M1662" s="9"/>
      <c r="N1662" s="9"/>
      <c r="O1662" s="9"/>
      <c r="P1662" s="9"/>
    </row>
    <row r="1663" spans="2:16" x14ac:dyDescent="0.2">
      <c r="B1663" s="9"/>
      <c r="C1663" s="9"/>
      <c r="D1663" s="9"/>
      <c r="E1663" s="9"/>
      <c r="F1663" s="9"/>
      <c r="G1663" s="9"/>
      <c r="H1663" s="9"/>
      <c r="I1663" s="9"/>
      <c r="J1663" s="9"/>
      <c r="K1663" s="9"/>
      <c r="L1663" s="9"/>
      <c r="M1663" s="9"/>
      <c r="N1663" s="9"/>
      <c r="O1663" s="9"/>
      <c r="P1663" s="9"/>
    </row>
    <row r="1664" spans="2:16" x14ac:dyDescent="0.2">
      <c r="B1664" s="9"/>
      <c r="C1664" s="9"/>
      <c r="D1664" s="9"/>
      <c r="E1664" s="9"/>
      <c r="F1664" s="9"/>
      <c r="G1664" s="9"/>
      <c r="H1664" s="9"/>
      <c r="I1664" s="9"/>
      <c r="J1664" s="9"/>
      <c r="K1664" s="9"/>
      <c r="L1664" s="9"/>
      <c r="M1664" s="9"/>
      <c r="N1664" s="9"/>
      <c r="O1664" s="9"/>
      <c r="P1664" s="9"/>
    </row>
    <row r="1665" spans="2:16" x14ac:dyDescent="0.2">
      <c r="B1665" s="9"/>
      <c r="C1665" s="9"/>
      <c r="D1665" s="9"/>
      <c r="E1665" s="9"/>
      <c r="F1665" s="9"/>
      <c r="G1665" s="9"/>
      <c r="H1665" s="9"/>
      <c r="I1665" s="9"/>
      <c r="J1665" s="9"/>
      <c r="K1665" s="9"/>
      <c r="L1665" s="9"/>
      <c r="M1665" s="9"/>
      <c r="N1665" s="9"/>
      <c r="O1665" s="9"/>
      <c r="P1665" s="9"/>
    </row>
    <row r="1666" spans="2:16" x14ac:dyDescent="0.2">
      <c r="B1666" s="9"/>
      <c r="C1666" s="9"/>
      <c r="D1666" s="9"/>
      <c r="E1666" s="9"/>
      <c r="F1666" s="9"/>
      <c r="G1666" s="9"/>
      <c r="H1666" s="9"/>
      <c r="I1666" s="9"/>
      <c r="J1666" s="9"/>
      <c r="K1666" s="9"/>
      <c r="L1666" s="9"/>
      <c r="M1666" s="9"/>
      <c r="N1666" s="9"/>
      <c r="O1666" s="9"/>
      <c r="P1666" s="9"/>
    </row>
    <row r="1667" spans="2:16" x14ac:dyDescent="0.2">
      <c r="B1667" s="9"/>
      <c r="C1667" s="9"/>
      <c r="D1667" s="9"/>
      <c r="E1667" s="9"/>
      <c r="F1667" s="9"/>
      <c r="G1667" s="9"/>
      <c r="H1667" s="9"/>
      <c r="I1667" s="9"/>
      <c r="J1667" s="9"/>
      <c r="K1667" s="9"/>
      <c r="L1667" s="9"/>
      <c r="M1667" s="9"/>
      <c r="N1667" s="9"/>
      <c r="O1667" s="9"/>
      <c r="P1667" s="9"/>
    </row>
    <row r="1668" spans="2:16" x14ac:dyDescent="0.2">
      <c r="B1668" s="9"/>
      <c r="C1668" s="9"/>
      <c r="D1668" s="9"/>
      <c r="E1668" s="9"/>
      <c r="F1668" s="9"/>
      <c r="G1668" s="9"/>
      <c r="H1668" s="9"/>
      <c r="I1668" s="9"/>
      <c r="J1668" s="9"/>
      <c r="K1668" s="9"/>
      <c r="L1668" s="9"/>
      <c r="M1668" s="9"/>
      <c r="N1668" s="9"/>
      <c r="O1668" s="9"/>
      <c r="P1668" s="9"/>
    </row>
    <row r="1669" spans="2:16" x14ac:dyDescent="0.2">
      <c r="B1669" s="9"/>
      <c r="C1669" s="9"/>
      <c r="D1669" s="9"/>
      <c r="E1669" s="9"/>
      <c r="F1669" s="9"/>
      <c r="G1669" s="9"/>
      <c r="H1669" s="9"/>
      <c r="I1669" s="9"/>
      <c r="J1669" s="9"/>
      <c r="K1669" s="9"/>
      <c r="L1669" s="9"/>
      <c r="M1669" s="9"/>
      <c r="N1669" s="9"/>
      <c r="O1669" s="9"/>
      <c r="P1669" s="9"/>
    </row>
    <row r="1670" spans="2:16" x14ac:dyDescent="0.2">
      <c r="B1670" s="9"/>
      <c r="C1670" s="9"/>
      <c r="D1670" s="9"/>
      <c r="E1670" s="9"/>
      <c r="F1670" s="9"/>
      <c r="G1670" s="9"/>
      <c r="H1670" s="9"/>
      <c r="I1670" s="9"/>
      <c r="J1670" s="9"/>
      <c r="K1670" s="9"/>
      <c r="L1670" s="9"/>
      <c r="M1670" s="9"/>
      <c r="N1670" s="9"/>
      <c r="O1670" s="9"/>
      <c r="P1670" s="9"/>
    </row>
    <row r="1671" spans="2:16" x14ac:dyDescent="0.2">
      <c r="B1671" s="9"/>
      <c r="C1671" s="9"/>
      <c r="D1671" s="9"/>
      <c r="E1671" s="9"/>
      <c r="F1671" s="9"/>
      <c r="G1671" s="9"/>
      <c r="H1671" s="9"/>
      <c r="I1671" s="9"/>
      <c r="J1671" s="9"/>
      <c r="K1671" s="9"/>
      <c r="L1671" s="9"/>
      <c r="M1671" s="9"/>
      <c r="N1671" s="9"/>
      <c r="O1671" s="9"/>
      <c r="P1671" s="9"/>
    </row>
    <row r="1672" spans="2:16" x14ac:dyDescent="0.2">
      <c r="B1672" s="9"/>
      <c r="C1672" s="9"/>
      <c r="D1672" s="9"/>
      <c r="E1672" s="9"/>
      <c r="F1672" s="9"/>
      <c r="G1672" s="9"/>
      <c r="H1672" s="9"/>
      <c r="I1672" s="9"/>
      <c r="J1672" s="9"/>
      <c r="K1672" s="9"/>
      <c r="L1672" s="9"/>
      <c r="M1672" s="9"/>
      <c r="N1672" s="9"/>
      <c r="O1672" s="9"/>
      <c r="P1672" s="9"/>
    </row>
    <row r="1673" spans="2:16" x14ac:dyDescent="0.2">
      <c r="B1673" s="9"/>
      <c r="C1673" s="9"/>
      <c r="D1673" s="9"/>
      <c r="E1673" s="9"/>
      <c r="F1673" s="9"/>
      <c r="G1673" s="9"/>
      <c r="H1673" s="9"/>
      <c r="I1673" s="9"/>
      <c r="J1673" s="9"/>
      <c r="K1673" s="9"/>
      <c r="L1673" s="9"/>
      <c r="M1673" s="9"/>
      <c r="N1673" s="9"/>
      <c r="O1673" s="9"/>
      <c r="P1673" s="9"/>
    </row>
    <row r="1674" spans="2:16" x14ac:dyDescent="0.2">
      <c r="B1674" s="9"/>
      <c r="C1674" s="9"/>
      <c r="D1674" s="9"/>
      <c r="E1674" s="9"/>
      <c r="F1674" s="9"/>
      <c r="G1674" s="9"/>
      <c r="H1674" s="9"/>
      <c r="I1674" s="9"/>
      <c r="J1674" s="9"/>
      <c r="K1674" s="9"/>
      <c r="L1674" s="9"/>
      <c r="M1674" s="9"/>
      <c r="N1674" s="9"/>
      <c r="O1674" s="9"/>
      <c r="P1674" s="9"/>
    </row>
    <row r="1675" spans="2:16" x14ac:dyDescent="0.2">
      <c r="B1675" s="9"/>
      <c r="C1675" s="9"/>
      <c r="D1675" s="9"/>
      <c r="E1675" s="9"/>
      <c r="F1675" s="9"/>
      <c r="G1675" s="9"/>
      <c r="H1675" s="9"/>
      <c r="I1675" s="9"/>
      <c r="J1675" s="9"/>
      <c r="K1675" s="9"/>
      <c r="L1675" s="9"/>
      <c r="M1675" s="9"/>
      <c r="N1675" s="9"/>
      <c r="O1675" s="9"/>
      <c r="P1675" s="9"/>
    </row>
    <row r="1676" spans="2:16" x14ac:dyDescent="0.2">
      <c r="B1676" s="9"/>
      <c r="C1676" s="9"/>
      <c r="D1676" s="9"/>
      <c r="E1676" s="9"/>
      <c r="F1676" s="9"/>
      <c r="G1676" s="9"/>
      <c r="H1676" s="9"/>
      <c r="I1676" s="9"/>
      <c r="J1676" s="9"/>
      <c r="K1676" s="9"/>
      <c r="L1676" s="9"/>
      <c r="M1676" s="9"/>
      <c r="N1676" s="9"/>
      <c r="O1676" s="9"/>
      <c r="P1676" s="9"/>
    </row>
    <row r="1677" spans="2:16" x14ac:dyDescent="0.2">
      <c r="B1677" s="9"/>
      <c r="C1677" s="9"/>
      <c r="D1677" s="9"/>
      <c r="E1677" s="9"/>
      <c r="F1677" s="9"/>
      <c r="G1677" s="9"/>
      <c r="H1677" s="9"/>
      <c r="I1677" s="9"/>
      <c r="J1677" s="9"/>
      <c r="K1677" s="9"/>
      <c r="L1677" s="9"/>
      <c r="M1677" s="9"/>
      <c r="N1677" s="9"/>
      <c r="O1677" s="9"/>
      <c r="P1677" s="9"/>
    </row>
    <row r="1678" spans="2:16" x14ac:dyDescent="0.2">
      <c r="B1678" s="9"/>
      <c r="C1678" s="9"/>
      <c r="D1678" s="9"/>
      <c r="E1678" s="9"/>
      <c r="F1678" s="9"/>
      <c r="G1678" s="9"/>
      <c r="H1678" s="9"/>
      <c r="I1678" s="9"/>
      <c r="J1678" s="9"/>
      <c r="K1678" s="9"/>
      <c r="L1678" s="9"/>
      <c r="M1678" s="9"/>
      <c r="N1678" s="9"/>
      <c r="O1678" s="9"/>
      <c r="P1678" s="9"/>
    </row>
    <row r="1679" spans="2:16" x14ac:dyDescent="0.2">
      <c r="B1679" s="9"/>
      <c r="C1679" s="9"/>
      <c r="D1679" s="9"/>
      <c r="E1679" s="9"/>
      <c r="F1679" s="9"/>
      <c r="G1679" s="9"/>
      <c r="H1679" s="9"/>
      <c r="I1679" s="9"/>
      <c r="J1679" s="9"/>
      <c r="K1679" s="9"/>
      <c r="L1679" s="9"/>
      <c r="M1679" s="9"/>
      <c r="N1679" s="9"/>
      <c r="O1679" s="9"/>
      <c r="P1679" s="9"/>
    </row>
    <row r="1680" spans="2:16" x14ac:dyDescent="0.2">
      <c r="B1680" s="9"/>
      <c r="C1680" s="9"/>
      <c r="D1680" s="9"/>
      <c r="E1680" s="9"/>
      <c r="F1680" s="9"/>
      <c r="G1680" s="9"/>
      <c r="H1680" s="9"/>
      <c r="I1680" s="9"/>
      <c r="J1680" s="9"/>
      <c r="K1680" s="9"/>
      <c r="L1680" s="9"/>
      <c r="M1680" s="9"/>
      <c r="N1680" s="9"/>
      <c r="O1680" s="9"/>
      <c r="P1680" s="9"/>
    </row>
    <row r="1681" spans="2:16" x14ac:dyDescent="0.2">
      <c r="B1681" s="9"/>
      <c r="C1681" s="9"/>
      <c r="D1681" s="9"/>
      <c r="E1681" s="9"/>
      <c r="F1681" s="9"/>
      <c r="G1681" s="9"/>
      <c r="H1681" s="9"/>
      <c r="I1681" s="9"/>
      <c r="J1681" s="9"/>
      <c r="K1681" s="9"/>
      <c r="L1681" s="9"/>
      <c r="M1681" s="9"/>
      <c r="N1681" s="9"/>
      <c r="O1681" s="9"/>
      <c r="P1681" s="9"/>
    </row>
    <row r="1682" spans="2:16" x14ac:dyDescent="0.2">
      <c r="B1682" s="9"/>
      <c r="C1682" s="9"/>
      <c r="D1682" s="9"/>
      <c r="E1682" s="9"/>
      <c r="F1682" s="9"/>
      <c r="G1682" s="9"/>
      <c r="H1682" s="9"/>
      <c r="I1682" s="9"/>
      <c r="J1682" s="9"/>
      <c r="K1682" s="9"/>
      <c r="L1682" s="9"/>
      <c r="M1682" s="9"/>
      <c r="N1682" s="9"/>
      <c r="O1682" s="9"/>
      <c r="P1682" s="9"/>
    </row>
    <row r="1683" spans="2:16" x14ac:dyDescent="0.2">
      <c r="B1683" s="9"/>
      <c r="C1683" s="9"/>
      <c r="D1683" s="9"/>
      <c r="E1683" s="9"/>
      <c r="F1683" s="9"/>
      <c r="G1683" s="9"/>
      <c r="H1683" s="9"/>
      <c r="I1683" s="9"/>
      <c r="J1683" s="9"/>
      <c r="K1683" s="9"/>
      <c r="L1683" s="9"/>
      <c r="M1683" s="9"/>
      <c r="N1683" s="9"/>
      <c r="O1683" s="9"/>
      <c r="P1683" s="9"/>
    </row>
    <row r="1684" spans="2:16" x14ac:dyDescent="0.2">
      <c r="B1684" s="9"/>
      <c r="C1684" s="9"/>
      <c r="D1684" s="9"/>
      <c r="E1684" s="9"/>
      <c r="F1684" s="9"/>
      <c r="G1684" s="9"/>
      <c r="H1684" s="9"/>
      <c r="I1684" s="9"/>
      <c r="J1684" s="9"/>
      <c r="K1684" s="9"/>
      <c r="L1684" s="9"/>
      <c r="M1684" s="9"/>
      <c r="N1684" s="9"/>
      <c r="O1684" s="9"/>
      <c r="P1684" s="9"/>
    </row>
    <row r="1685" spans="2:16" x14ac:dyDescent="0.2">
      <c r="B1685" s="9"/>
      <c r="C1685" s="9"/>
      <c r="D1685" s="9"/>
      <c r="E1685" s="9"/>
      <c r="F1685" s="9"/>
      <c r="G1685" s="9"/>
      <c r="H1685" s="9"/>
      <c r="I1685" s="9"/>
      <c r="J1685" s="9"/>
      <c r="K1685" s="9"/>
      <c r="L1685" s="9"/>
      <c r="M1685" s="9"/>
      <c r="N1685" s="9"/>
      <c r="O1685" s="9"/>
      <c r="P1685" s="9"/>
    </row>
    <row r="1686" spans="2:16" x14ac:dyDescent="0.2">
      <c r="B1686" s="9"/>
      <c r="C1686" s="9"/>
      <c r="D1686" s="9"/>
      <c r="E1686" s="9"/>
      <c r="F1686" s="9"/>
      <c r="G1686" s="9"/>
      <c r="H1686" s="9"/>
      <c r="I1686" s="9"/>
      <c r="J1686" s="9"/>
      <c r="K1686" s="9"/>
      <c r="L1686" s="9"/>
      <c r="M1686" s="9"/>
      <c r="N1686" s="9"/>
      <c r="O1686" s="9"/>
      <c r="P1686" s="9"/>
    </row>
    <row r="1687" spans="2:16" x14ac:dyDescent="0.2">
      <c r="B1687" s="9"/>
      <c r="C1687" s="9"/>
      <c r="D1687" s="9"/>
      <c r="E1687" s="9"/>
      <c r="F1687" s="9"/>
      <c r="G1687" s="9"/>
      <c r="H1687" s="9"/>
      <c r="I1687" s="9"/>
      <c r="J1687" s="9"/>
      <c r="K1687" s="9"/>
      <c r="L1687" s="9"/>
      <c r="M1687" s="9"/>
      <c r="N1687" s="9"/>
      <c r="O1687" s="9"/>
      <c r="P1687" s="9"/>
    </row>
    <row r="1688" spans="2:16" x14ac:dyDescent="0.2">
      <c r="B1688" s="9"/>
      <c r="C1688" s="9"/>
      <c r="D1688" s="9"/>
      <c r="E1688" s="9"/>
      <c r="F1688" s="9"/>
      <c r="G1688" s="9"/>
      <c r="H1688" s="9"/>
      <c r="I1688" s="9"/>
      <c r="J1688" s="9"/>
      <c r="K1688" s="9"/>
      <c r="L1688" s="9"/>
      <c r="M1688" s="9"/>
      <c r="N1688" s="9"/>
      <c r="O1688" s="9"/>
      <c r="P1688" s="9"/>
    </row>
    <row r="1689" spans="2:16" x14ac:dyDescent="0.2">
      <c r="B1689" s="9"/>
      <c r="C1689" s="9"/>
      <c r="D1689" s="9"/>
      <c r="E1689" s="9"/>
      <c r="F1689" s="9"/>
      <c r="G1689" s="9"/>
      <c r="H1689" s="9"/>
      <c r="I1689" s="9"/>
      <c r="J1689" s="9"/>
      <c r="K1689" s="9"/>
      <c r="L1689" s="9"/>
      <c r="M1689" s="9"/>
      <c r="N1689" s="9"/>
      <c r="O1689" s="9"/>
      <c r="P1689" s="9"/>
    </row>
    <row r="1690" spans="2:16" x14ac:dyDescent="0.2">
      <c r="B1690" s="9"/>
      <c r="C1690" s="9"/>
      <c r="D1690" s="9"/>
      <c r="E1690" s="9"/>
      <c r="F1690" s="9"/>
      <c r="G1690" s="9"/>
      <c r="H1690" s="9"/>
      <c r="I1690" s="9"/>
      <c r="J1690" s="9"/>
      <c r="K1690" s="9"/>
      <c r="L1690" s="9"/>
      <c r="M1690" s="9"/>
      <c r="N1690" s="9"/>
      <c r="O1690" s="9"/>
      <c r="P1690" s="9"/>
    </row>
    <row r="1691" spans="2:16" x14ac:dyDescent="0.2">
      <c r="B1691" s="9"/>
      <c r="C1691" s="9"/>
      <c r="D1691" s="9"/>
      <c r="E1691" s="9"/>
      <c r="F1691" s="9"/>
      <c r="G1691" s="9"/>
      <c r="H1691" s="9"/>
      <c r="I1691" s="9"/>
      <c r="J1691" s="9"/>
      <c r="K1691" s="9"/>
      <c r="L1691" s="9"/>
      <c r="M1691" s="9"/>
      <c r="N1691" s="9"/>
      <c r="O1691" s="9"/>
      <c r="P1691" s="9"/>
    </row>
    <row r="1692" spans="2:16" x14ac:dyDescent="0.2">
      <c r="B1692" s="9"/>
      <c r="C1692" s="9"/>
      <c r="D1692" s="9"/>
      <c r="E1692" s="9"/>
      <c r="F1692" s="9"/>
      <c r="G1692" s="9"/>
      <c r="H1692" s="9"/>
      <c r="I1692" s="9"/>
      <c r="J1692" s="9"/>
      <c r="K1692" s="9"/>
      <c r="L1692" s="9"/>
      <c r="M1692" s="9"/>
      <c r="N1692" s="9"/>
      <c r="O1692" s="9"/>
      <c r="P1692" s="9"/>
    </row>
    <row r="1693" spans="2:16" x14ac:dyDescent="0.2">
      <c r="B1693" s="9"/>
      <c r="C1693" s="9"/>
      <c r="D1693" s="9"/>
      <c r="E1693" s="9"/>
      <c r="F1693" s="9"/>
      <c r="G1693" s="9"/>
      <c r="H1693" s="9"/>
      <c r="I1693" s="9"/>
      <c r="J1693" s="9"/>
      <c r="K1693" s="9"/>
      <c r="L1693" s="9"/>
      <c r="M1693" s="9"/>
      <c r="N1693" s="9"/>
      <c r="O1693" s="9"/>
      <c r="P1693" s="9"/>
    </row>
    <row r="1694" spans="2:16" x14ac:dyDescent="0.2">
      <c r="B1694" s="9"/>
      <c r="C1694" s="9"/>
      <c r="D1694" s="9"/>
      <c r="E1694" s="9"/>
      <c r="F1694" s="9"/>
      <c r="G1694" s="9"/>
      <c r="H1694" s="9"/>
      <c r="I1694" s="9"/>
      <c r="J1694" s="9"/>
      <c r="K1694" s="9"/>
      <c r="L1694" s="9"/>
      <c r="M1694" s="9"/>
      <c r="N1694" s="9"/>
      <c r="O1694" s="9"/>
      <c r="P1694" s="9"/>
    </row>
    <row r="1695" spans="2:16" x14ac:dyDescent="0.2">
      <c r="B1695" s="9"/>
      <c r="C1695" s="9"/>
      <c r="D1695" s="9"/>
      <c r="E1695" s="9"/>
      <c r="F1695" s="9"/>
      <c r="G1695" s="9"/>
      <c r="H1695" s="9"/>
      <c r="I1695" s="9"/>
      <c r="J1695" s="9"/>
      <c r="K1695" s="9"/>
      <c r="L1695" s="9"/>
      <c r="M1695" s="9"/>
      <c r="N1695" s="9"/>
      <c r="O1695" s="9"/>
      <c r="P1695" s="9"/>
    </row>
    <row r="1696" spans="2:16" x14ac:dyDescent="0.2">
      <c r="B1696" s="9"/>
      <c r="C1696" s="9"/>
      <c r="D1696" s="9"/>
      <c r="E1696" s="9"/>
      <c r="F1696" s="9"/>
      <c r="G1696" s="9"/>
      <c r="H1696" s="9"/>
      <c r="I1696" s="9"/>
      <c r="J1696" s="9"/>
      <c r="K1696" s="9"/>
      <c r="L1696" s="9"/>
      <c r="M1696" s="9"/>
      <c r="N1696" s="9"/>
      <c r="O1696" s="9"/>
      <c r="P1696" s="9"/>
    </row>
    <row r="1697" spans="2:16" x14ac:dyDescent="0.2">
      <c r="B1697" s="9"/>
      <c r="C1697" s="9"/>
      <c r="D1697" s="9"/>
      <c r="E1697" s="9"/>
      <c r="F1697" s="9"/>
      <c r="G1697" s="9"/>
      <c r="H1697" s="9"/>
      <c r="I1697" s="9"/>
      <c r="J1697" s="9"/>
      <c r="K1697" s="9"/>
      <c r="L1697" s="9"/>
      <c r="M1697" s="9"/>
      <c r="N1697" s="9"/>
      <c r="O1697" s="9"/>
      <c r="P1697" s="9"/>
    </row>
    <row r="1698" spans="2:16" x14ac:dyDescent="0.2">
      <c r="B1698" s="9"/>
      <c r="C1698" s="9"/>
      <c r="D1698" s="9"/>
      <c r="E1698" s="9"/>
      <c r="F1698" s="9"/>
      <c r="G1698" s="9"/>
      <c r="H1698" s="9"/>
      <c r="I1698" s="9"/>
      <c r="J1698" s="9"/>
      <c r="K1698" s="9"/>
      <c r="L1698" s="9"/>
      <c r="M1698" s="9"/>
      <c r="N1698" s="9"/>
      <c r="O1698" s="9"/>
      <c r="P1698" s="9"/>
    </row>
    <row r="1699" spans="2:16" x14ac:dyDescent="0.2">
      <c r="B1699" s="9"/>
      <c r="C1699" s="9"/>
      <c r="D1699" s="9"/>
      <c r="E1699" s="9"/>
      <c r="F1699" s="9"/>
      <c r="G1699" s="9"/>
      <c r="H1699" s="9"/>
      <c r="I1699" s="9"/>
      <c r="J1699" s="9"/>
      <c r="K1699" s="9"/>
      <c r="L1699" s="9"/>
      <c r="M1699" s="9"/>
      <c r="N1699" s="9"/>
      <c r="O1699" s="9"/>
      <c r="P1699" s="9"/>
    </row>
    <row r="1700" spans="2:16" x14ac:dyDescent="0.2">
      <c r="B1700" s="9"/>
      <c r="C1700" s="9"/>
      <c r="D1700" s="9"/>
      <c r="E1700" s="9"/>
      <c r="F1700" s="9"/>
      <c r="G1700" s="9"/>
      <c r="H1700" s="9"/>
      <c r="I1700" s="9"/>
      <c r="J1700" s="9"/>
      <c r="K1700" s="9"/>
      <c r="L1700" s="9"/>
      <c r="M1700" s="9"/>
      <c r="N1700" s="9"/>
      <c r="O1700" s="9"/>
      <c r="P1700" s="9"/>
    </row>
    <row r="1701" spans="2:16" x14ac:dyDescent="0.2">
      <c r="B1701" s="9"/>
      <c r="C1701" s="9"/>
      <c r="D1701" s="9"/>
      <c r="E1701" s="9"/>
      <c r="F1701" s="9"/>
      <c r="G1701" s="9"/>
      <c r="H1701" s="9"/>
      <c r="I1701" s="9"/>
      <c r="J1701" s="9"/>
      <c r="K1701" s="9"/>
      <c r="L1701" s="9"/>
      <c r="M1701" s="9"/>
      <c r="N1701" s="9"/>
      <c r="O1701" s="9"/>
      <c r="P1701" s="9"/>
    </row>
    <row r="1702" spans="2:16" x14ac:dyDescent="0.2">
      <c r="B1702" s="9"/>
      <c r="C1702" s="9"/>
      <c r="D1702" s="9"/>
      <c r="E1702" s="9"/>
      <c r="F1702" s="9"/>
      <c r="G1702" s="9"/>
      <c r="H1702" s="9"/>
      <c r="I1702" s="9"/>
      <c r="J1702" s="9"/>
      <c r="K1702" s="9"/>
      <c r="L1702" s="9"/>
      <c r="M1702" s="9"/>
      <c r="N1702" s="9"/>
      <c r="O1702" s="9"/>
      <c r="P1702" s="9"/>
    </row>
    <row r="1703" spans="2:16" x14ac:dyDescent="0.2">
      <c r="B1703" s="9"/>
      <c r="C1703" s="9"/>
      <c r="D1703" s="9"/>
      <c r="E1703" s="9"/>
      <c r="F1703" s="9"/>
      <c r="G1703" s="9"/>
      <c r="H1703" s="9"/>
      <c r="I1703" s="9"/>
      <c r="J1703" s="9"/>
      <c r="K1703" s="9"/>
      <c r="L1703" s="9"/>
      <c r="M1703" s="9"/>
      <c r="N1703" s="9"/>
      <c r="O1703" s="9"/>
      <c r="P1703" s="9"/>
    </row>
    <row r="1704" spans="2:16" x14ac:dyDescent="0.2">
      <c r="B1704" s="9"/>
      <c r="C1704" s="9"/>
      <c r="D1704" s="9"/>
      <c r="E1704" s="9"/>
      <c r="F1704" s="9"/>
      <c r="G1704" s="9"/>
      <c r="H1704" s="9"/>
      <c r="I1704" s="9"/>
      <c r="J1704" s="9"/>
      <c r="K1704" s="9"/>
      <c r="L1704" s="9"/>
      <c r="M1704" s="9"/>
      <c r="N1704" s="9"/>
      <c r="O1704" s="9"/>
      <c r="P1704" s="9"/>
    </row>
    <row r="1705" spans="2:16" x14ac:dyDescent="0.2">
      <c r="B1705" s="9"/>
      <c r="C1705" s="9"/>
      <c r="D1705" s="9"/>
      <c r="E1705" s="9"/>
      <c r="F1705" s="9"/>
      <c r="G1705" s="9"/>
      <c r="H1705" s="9"/>
      <c r="I1705" s="9"/>
      <c r="J1705" s="9"/>
      <c r="K1705" s="9"/>
      <c r="L1705" s="9"/>
      <c r="M1705" s="9"/>
      <c r="N1705" s="9"/>
      <c r="O1705" s="9"/>
      <c r="P1705" s="9"/>
    </row>
    <row r="1706" spans="2:16" x14ac:dyDescent="0.2">
      <c r="B1706" s="9"/>
      <c r="C1706" s="9"/>
      <c r="D1706" s="9"/>
      <c r="E1706" s="9"/>
      <c r="F1706" s="9"/>
      <c r="G1706" s="9"/>
      <c r="H1706" s="9"/>
      <c r="I1706" s="9"/>
      <c r="J1706" s="9"/>
      <c r="K1706" s="9"/>
      <c r="L1706" s="9"/>
      <c r="M1706" s="9"/>
      <c r="N1706" s="9"/>
      <c r="O1706" s="9"/>
      <c r="P1706" s="9"/>
    </row>
    <row r="1707" spans="2:16" x14ac:dyDescent="0.2">
      <c r="B1707" s="9"/>
      <c r="C1707" s="9"/>
      <c r="D1707" s="9"/>
      <c r="E1707" s="9"/>
      <c r="F1707" s="9"/>
      <c r="G1707" s="9"/>
      <c r="H1707" s="9"/>
      <c r="I1707" s="9"/>
      <c r="J1707" s="9"/>
      <c r="K1707" s="9"/>
      <c r="L1707" s="9"/>
      <c r="M1707" s="9"/>
      <c r="N1707" s="9"/>
      <c r="O1707" s="9"/>
      <c r="P1707" s="9"/>
    </row>
    <row r="1708" spans="2:16" x14ac:dyDescent="0.2">
      <c r="B1708" s="9"/>
      <c r="C1708" s="9"/>
      <c r="D1708" s="9"/>
      <c r="E1708" s="9"/>
      <c r="F1708" s="9"/>
      <c r="G1708" s="9"/>
      <c r="H1708" s="9"/>
      <c r="I1708" s="9"/>
      <c r="J1708" s="9"/>
      <c r="K1708" s="9"/>
      <c r="L1708" s="9"/>
      <c r="M1708" s="9"/>
      <c r="N1708" s="9"/>
      <c r="O1708" s="9"/>
      <c r="P1708" s="9"/>
    </row>
    <row r="1709" spans="2:16" x14ac:dyDescent="0.2">
      <c r="B1709" s="9"/>
      <c r="C1709" s="9"/>
      <c r="D1709" s="9"/>
      <c r="E1709" s="9"/>
      <c r="F1709" s="9"/>
      <c r="G1709" s="9"/>
      <c r="H1709" s="9"/>
      <c r="I1709" s="9"/>
      <c r="J1709" s="9"/>
      <c r="K1709" s="9"/>
      <c r="L1709" s="9"/>
      <c r="M1709" s="9"/>
      <c r="N1709" s="9"/>
      <c r="O1709" s="9"/>
      <c r="P1709" s="9"/>
    </row>
    <row r="1710" spans="2:16" x14ac:dyDescent="0.2">
      <c r="B1710" s="9"/>
      <c r="C1710" s="9"/>
      <c r="D1710" s="9"/>
      <c r="E1710" s="9"/>
      <c r="F1710" s="9"/>
      <c r="G1710" s="9"/>
      <c r="H1710" s="9"/>
      <c r="I1710" s="9"/>
      <c r="J1710" s="9"/>
      <c r="K1710" s="9"/>
      <c r="L1710" s="9"/>
      <c r="M1710" s="9"/>
      <c r="N1710" s="9"/>
      <c r="O1710" s="9"/>
      <c r="P1710" s="9"/>
    </row>
    <row r="1711" spans="2:16" x14ac:dyDescent="0.2">
      <c r="B1711" s="9"/>
      <c r="C1711" s="9"/>
      <c r="D1711" s="9"/>
      <c r="E1711" s="9"/>
      <c r="F1711" s="9"/>
      <c r="G1711" s="9"/>
      <c r="H1711" s="9"/>
      <c r="I1711" s="9"/>
      <c r="J1711" s="9"/>
      <c r="K1711" s="9"/>
      <c r="L1711" s="9"/>
      <c r="M1711" s="9"/>
      <c r="N1711" s="9"/>
      <c r="O1711" s="9"/>
      <c r="P1711" s="9"/>
    </row>
    <row r="1712" spans="2:16" x14ac:dyDescent="0.2">
      <c r="B1712" s="9"/>
      <c r="C1712" s="9"/>
      <c r="D1712" s="9"/>
      <c r="E1712" s="9"/>
      <c r="F1712" s="9"/>
      <c r="G1712" s="9"/>
      <c r="H1712" s="9"/>
      <c r="I1712" s="9"/>
      <c r="J1712" s="9"/>
      <c r="K1712" s="9"/>
      <c r="L1712" s="9"/>
      <c r="M1712" s="9"/>
      <c r="N1712" s="9"/>
      <c r="O1712" s="9"/>
      <c r="P1712" s="9"/>
    </row>
    <row r="1713" spans="2:16" x14ac:dyDescent="0.2">
      <c r="B1713" s="9"/>
      <c r="C1713" s="9"/>
      <c r="D1713" s="9"/>
      <c r="E1713" s="9"/>
      <c r="F1713" s="9"/>
      <c r="G1713" s="9"/>
      <c r="H1713" s="9"/>
      <c r="I1713" s="9"/>
      <c r="J1713" s="9"/>
      <c r="K1713" s="9"/>
      <c r="L1713" s="9"/>
      <c r="M1713" s="9"/>
      <c r="N1713" s="9"/>
      <c r="O1713" s="9"/>
      <c r="P1713" s="9"/>
    </row>
    <row r="1714" spans="2:16" x14ac:dyDescent="0.2">
      <c r="B1714" s="9"/>
      <c r="C1714" s="9"/>
      <c r="D1714" s="9"/>
      <c r="E1714" s="9"/>
      <c r="F1714" s="9"/>
      <c r="G1714" s="9"/>
      <c r="H1714" s="9"/>
      <c r="I1714" s="9"/>
      <c r="J1714" s="9"/>
      <c r="K1714" s="9"/>
      <c r="L1714" s="9"/>
      <c r="M1714" s="9"/>
      <c r="N1714" s="9"/>
      <c r="O1714" s="9"/>
      <c r="P1714" s="9"/>
    </row>
    <row r="1715" spans="2:16" x14ac:dyDescent="0.2">
      <c r="B1715" s="9"/>
      <c r="C1715" s="9"/>
      <c r="D1715" s="9"/>
      <c r="E1715" s="9"/>
      <c r="F1715" s="9"/>
      <c r="G1715" s="9"/>
      <c r="H1715" s="9"/>
      <c r="I1715" s="9"/>
      <c r="J1715" s="9"/>
      <c r="K1715" s="9"/>
      <c r="L1715" s="9"/>
      <c r="M1715" s="9"/>
      <c r="N1715" s="9"/>
      <c r="O1715" s="9"/>
      <c r="P1715" s="9"/>
    </row>
    <row r="1716" spans="2:16" x14ac:dyDescent="0.2">
      <c r="B1716" s="9"/>
      <c r="C1716" s="9"/>
      <c r="D1716" s="9"/>
      <c r="E1716" s="9"/>
      <c r="F1716" s="9"/>
      <c r="G1716" s="9"/>
      <c r="H1716" s="9"/>
      <c r="I1716" s="9"/>
      <c r="J1716" s="9"/>
      <c r="K1716" s="9"/>
      <c r="L1716" s="9"/>
      <c r="M1716" s="9"/>
      <c r="N1716" s="9"/>
      <c r="O1716" s="9"/>
      <c r="P1716" s="9"/>
    </row>
    <row r="1717" spans="2:16" x14ac:dyDescent="0.2">
      <c r="B1717" s="9"/>
      <c r="C1717" s="9"/>
      <c r="D1717" s="9"/>
      <c r="E1717" s="9"/>
      <c r="F1717" s="9"/>
      <c r="G1717" s="9"/>
      <c r="H1717" s="9"/>
      <c r="I1717" s="9"/>
      <c r="J1717" s="9"/>
      <c r="K1717" s="9"/>
      <c r="L1717" s="9"/>
      <c r="M1717" s="9"/>
      <c r="N1717" s="9"/>
      <c r="O1717" s="9"/>
      <c r="P1717" s="9"/>
    </row>
    <row r="1718" spans="2:16" x14ac:dyDescent="0.2">
      <c r="B1718" s="9"/>
      <c r="C1718" s="9"/>
      <c r="D1718" s="9"/>
      <c r="E1718" s="9"/>
      <c r="F1718" s="9"/>
      <c r="G1718" s="9"/>
      <c r="H1718" s="9"/>
      <c r="I1718" s="9"/>
      <c r="J1718" s="9"/>
      <c r="K1718" s="9"/>
      <c r="L1718" s="9"/>
      <c r="M1718" s="9"/>
      <c r="N1718" s="9"/>
      <c r="O1718" s="9"/>
      <c r="P1718" s="9"/>
    </row>
    <row r="1719" spans="2:16" x14ac:dyDescent="0.2">
      <c r="B1719" s="9"/>
      <c r="C1719" s="9"/>
      <c r="D1719" s="9"/>
      <c r="E1719" s="9"/>
      <c r="F1719" s="9"/>
      <c r="G1719" s="9"/>
      <c r="H1719" s="9"/>
      <c r="I1719" s="9"/>
      <c r="J1719" s="9"/>
      <c r="K1719" s="9"/>
      <c r="L1719" s="9"/>
      <c r="M1719" s="9"/>
      <c r="N1719" s="9"/>
      <c r="O1719" s="9"/>
      <c r="P1719" s="9"/>
    </row>
    <row r="1720" spans="2:16" x14ac:dyDescent="0.2">
      <c r="B1720" s="9"/>
      <c r="C1720" s="9"/>
      <c r="D1720" s="9"/>
      <c r="E1720" s="9"/>
      <c r="F1720" s="9"/>
      <c r="G1720" s="9"/>
      <c r="H1720" s="9"/>
      <c r="I1720" s="9"/>
      <c r="J1720" s="9"/>
      <c r="K1720" s="9"/>
      <c r="L1720" s="9"/>
      <c r="M1720" s="9"/>
      <c r="N1720" s="9"/>
      <c r="O1720" s="9"/>
      <c r="P1720" s="9"/>
    </row>
    <row r="1721" spans="2:16" x14ac:dyDescent="0.2">
      <c r="B1721" s="9"/>
      <c r="C1721" s="9"/>
      <c r="D1721" s="9"/>
      <c r="E1721" s="9"/>
      <c r="F1721" s="9"/>
      <c r="G1721" s="9"/>
      <c r="H1721" s="9"/>
      <c r="I1721" s="9"/>
      <c r="J1721" s="9"/>
      <c r="K1721" s="9"/>
      <c r="L1721" s="9"/>
      <c r="M1721" s="9"/>
      <c r="N1721" s="9"/>
      <c r="O1721" s="9"/>
      <c r="P1721" s="9"/>
    </row>
    <row r="1722" spans="2:16" x14ac:dyDescent="0.2">
      <c r="B1722" s="9"/>
      <c r="C1722" s="9"/>
      <c r="D1722" s="9"/>
      <c r="E1722" s="9"/>
      <c r="F1722" s="9"/>
      <c r="G1722" s="9"/>
      <c r="H1722" s="9"/>
      <c r="I1722" s="9"/>
      <c r="J1722" s="9"/>
      <c r="K1722" s="9"/>
      <c r="L1722" s="9"/>
      <c r="M1722" s="9"/>
      <c r="N1722" s="9"/>
      <c r="O1722" s="9"/>
      <c r="P1722" s="9"/>
    </row>
    <row r="1723" spans="2:16" x14ac:dyDescent="0.2">
      <c r="B1723" s="9"/>
      <c r="C1723" s="9"/>
      <c r="D1723" s="9"/>
      <c r="E1723" s="9"/>
      <c r="F1723" s="9"/>
      <c r="G1723" s="9"/>
      <c r="H1723" s="9"/>
      <c r="I1723" s="9"/>
      <c r="J1723" s="9"/>
      <c r="K1723" s="9"/>
      <c r="L1723" s="9"/>
      <c r="M1723" s="9"/>
      <c r="N1723" s="9"/>
      <c r="O1723" s="9"/>
      <c r="P1723" s="9"/>
    </row>
    <row r="1724" spans="2:16" x14ac:dyDescent="0.2">
      <c r="B1724" s="9"/>
      <c r="C1724" s="9"/>
      <c r="D1724" s="9"/>
      <c r="E1724" s="9"/>
      <c r="F1724" s="9"/>
      <c r="G1724" s="9"/>
      <c r="H1724" s="9"/>
      <c r="I1724" s="9"/>
      <c r="J1724" s="9"/>
      <c r="K1724" s="9"/>
      <c r="L1724" s="9"/>
      <c r="M1724" s="9"/>
      <c r="N1724" s="9"/>
      <c r="O1724" s="9"/>
      <c r="P1724" s="9"/>
    </row>
    <row r="1725" spans="2:16" x14ac:dyDescent="0.2">
      <c r="B1725" s="9"/>
      <c r="C1725" s="9"/>
      <c r="D1725" s="9"/>
      <c r="E1725" s="9"/>
      <c r="F1725" s="9"/>
      <c r="G1725" s="9"/>
      <c r="H1725" s="9"/>
      <c r="I1725" s="9"/>
      <c r="J1725" s="9"/>
      <c r="K1725" s="9"/>
      <c r="L1725" s="9"/>
      <c r="M1725" s="9"/>
      <c r="N1725" s="9"/>
      <c r="O1725" s="9"/>
      <c r="P1725" s="9"/>
    </row>
    <row r="1726" spans="2:16" x14ac:dyDescent="0.2">
      <c r="B1726" s="9"/>
      <c r="C1726" s="9"/>
      <c r="D1726" s="9"/>
      <c r="E1726" s="9"/>
      <c r="F1726" s="9"/>
      <c r="G1726" s="9"/>
      <c r="H1726" s="9"/>
      <c r="I1726" s="9"/>
      <c r="J1726" s="9"/>
      <c r="K1726" s="9"/>
      <c r="L1726" s="9"/>
      <c r="M1726" s="9"/>
      <c r="N1726" s="9"/>
      <c r="O1726" s="9"/>
      <c r="P1726" s="9"/>
    </row>
    <row r="1727" spans="2:16" x14ac:dyDescent="0.2">
      <c r="B1727" s="9"/>
      <c r="C1727" s="9"/>
      <c r="D1727" s="9"/>
      <c r="E1727" s="9"/>
      <c r="F1727" s="9"/>
      <c r="G1727" s="9"/>
      <c r="H1727" s="9"/>
      <c r="I1727" s="9"/>
      <c r="J1727" s="9"/>
      <c r="K1727" s="9"/>
      <c r="L1727" s="9"/>
      <c r="M1727" s="9"/>
      <c r="N1727" s="9"/>
      <c r="O1727" s="9"/>
      <c r="P1727" s="9"/>
    </row>
    <row r="1728" spans="2:16" x14ac:dyDescent="0.2">
      <c r="B1728" s="9"/>
      <c r="C1728" s="9"/>
      <c r="D1728" s="9"/>
      <c r="E1728" s="9"/>
      <c r="F1728" s="9"/>
      <c r="G1728" s="9"/>
      <c r="H1728" s="9"/>
      <c r="I1728" s="9"/>
      <c r="J1728" s="9"/>
      <c r="K1728" s="9"/>
      <c r="L1728" s="9"/>
      <c r="M1728" s="9"/>
      <c r="N1728" s="9"/>
      <c r="O1728" s="9"/>
      <c r="P1728" s="9"/>
    </row>
    <row r="1729" spans="2:16" x14ac:dyDescent="0.2">
      <c r="B1729" s="9"/>
      <c r="C1729" s="9"/>
      <c r="D1729" s="9"/>
      <c r="E1729" s="9"/>
      <c r="F1729" s="9"/>
      <c r="G1729" s="9"/>
      <c r="H1729" s="9"/>
      <c r="I1729" s="9"/>
      <c r="J1729" s="9"/>
      <c r="K1729" s="9"/>
      <c r="L1729" s="9"/>
      <c r="M1729" s="9"/>
      <c r="N1729" s="9"/>
      <c r="O1729" s="9"/>
      <c r="P1729" s="9"/>
    </row>
    <row r="1730" spans="2:16" x14ac:dyDescent="0.2">
      <c r="B1730" s="9"/>
      <c r="C1730" s="9"/>
      <c r="D1730" s="9"/>
      <c r="E1730" s="9"/>
      <c r="F1730" s="9"/>
      <c r="G1730" s="9"/>
      <c r="H1730" s="9"/>
      <c r="I1730" s="9"/>
      <c r="J1730" s="9"/>
      <c r="K1730" s="9"/>
      <c r="L1730" s="9"/>
      <c r="M1730" s="9"/>
      <c r="N1730" s="9"/>
      <c r="O1730" s="9"/>
      <c r="P1730" s="9"/>
    </row>
    <row r="1731" spans="2:16" x14ac:dyDescent="0.2">
      <c r="B1731" s="9"/>
      <c r="C1731" s="9"/>
      <c r="D1731" s="9"/>
      <c r="E1731" s="9"/>
      <c r="F1731" s="9"/>
      <c r="G1731" s="9"/>
      <c r="H1731" s="9"/>
      <c r="I1731" s="9"/>
      <c r="J1731" s="9"/>
      <c r="K1731" s="9"/>
      <c r="L1731" s="9"/>
      <c r="M1731" s="9"/>
      <c r="N1731" s="9"/>
      <c r="O1731" s="9"/>
      <c r="P1731" s="9"/>
    </row>
    <row r="1732" spans="2:16" x14ac:dyDescent="0.2">
      <c r="B1732" s="9"/>
      <c r="C1732" s="9"/>
      <c r="D1732" s="9"/>
      <c r="E1732" s="9"/>
      <c r="F1732" s="9"/>
      <c r="G1732" s="9"/>
      <c r="H1732" s="9"/>
      <c r="I1732" s="9"/>
      <c r="J1732" s="9"/>
      <c r="K1732" s="9"/>
      <c r="L1732" s="9"/>
      <c r="M1732" s="9"/>
      <c r="N1732" s="9"/>
      <c r="O1732" s="9"/>
      <c r="P1732" s="9"/>
    </row>
    <row r="1733" spans="2:16" x14ac:dyDescent="0.2">
      <c r="B1733" s="9"/>
      <c r="C1733" s="9"/>
      <c r="D1733" s="9"/>
      <c r="E1733" s="9"/>
      <c r="F1733" s="9"/>
      <c r="G1733" s="9"/>
      <c r="H1733" s="9"/>
      <c r="I1733" s="9"/>
      <c r="J1733" s="9"/>
      <c r="K1733" s="9"/>
      <c r="L1733" s="9"/>
      <c r="M1733" s="9"/>
      <c r="N1733" s="9"/>
      <c r="O1733" s="9"/>
      <c r="P1733" s="9"/>
    </row>
    <row r="1734" spans="2:16" x14ac:dyDescent="0.2">
      <c r="B1734" s="9"/>
      <c r="C1734" s="9"/>
      <c r="D1734" s="9"/>
      <c r="E1734" s="9"/>
      <c r="F1734" s="9"/>
      <c r="G1734" s="9"/>
      <c r="H1734" s="9"/>
      <c r="I1734" s="9"/>
      <c r="J1734" s="9"/>
      <c r="K1734" s="9"/>
      <c r="L1734" s="9"/>
      <c r="M1734" s="9"/>
      <c r="N1734" s="9"/>
      <c r="O1734" s="9"/>
      <c r="P1734" s="9"/>
    </row>
    <row r="1735" spans="2:16" x14ac:dyDescent="0.2">
      <c r="B1735" s="9"/>
      <c r="C1735" s="9"/>
      <c r="D1735" s="9"/>
      <c r="E1735" s="9"/>
      <c r="F1735" s="9"/>
      <c r="G1735" s="9"/>
      <c r="H1735" s="9"/>
      <c r="I1735" s="9"/>
      <c r="J1735" s="9"/>
      <c r="K1735" s="9"/>
      <c r="L1735" s="9"/>
      <c r="M1735" s="9"/>
      <c r="N1735" s="9"/>
      <c r="O1735" s="9"/>
      <c r="P1735" s="9"/>
    </row>
    <row r="1736" spans="2:16" x14ac:dyDescent="0.2">
      <c r="B1736" s="9"/>
      <c r="C1736" s="9"/>
      <c r="D1736" s="9"/>
      <c r="E1736" s="9"/>
      <c r="F1736" s="9"/>
      <c r="G1736" s="9"/>
      <c r="H1736" s="9"/>
      <c r="I1736" s="9"/>
      <c r="J1736" s="9"/>
      <c r="K1736" s="9"/>
      <c r="L1736" s="9"/>
      <c r="M1736" s="9"/>
      <c r="N1736" s="9"/>
      <c r="O1736" s="9"/>
      <c r="P1736" s="9"/>
    </row>
    <row r="1737" spans="2:16" x14ac:dyDescent="0.2">
      <c r="B1737" s="9"/>
      <c r="C1737" s="9"/>
      <c r="D1737" s="9"/>
      <c r="E1737" s="9"/>
      <c r="F1737" s="9"/>
      <c r="G1737" s="9"/>
      <c r="H1737" s="9"/>
      <c r="I1737" s="9"/>
      <c r="J1737" s="9"/>
      <c r="K1737" s="9"/>
      <c r="L1737" s="9"/>
      <c r="M1737" s="9"/>
      <c r="N1737" s="9"/>
      <c r="O1737" s="9"/>
      <c r="P1737" s="9"/>
    </row>
    <row r="1738" spans="2:16" x14ac:dyDescent="0.2">
      <c r="B1738" s="9"/>
      <c r="C1738" s="9"/>
      <c r="D1738" s="9"/>
      <c r="E1738" s="9"/>
      <c r="F1738" s="9"/>
      <c r="G1738" s="9"/>
      <c r="H1738" s="9"/>
      <c r="I1738" s="9"/>
      <c r="J1738" s="9"/>
      <c r="K1738" s="9"/>
      <c r="L1738" s="9"/>
      <c r="M1738" s="9"/>
      <c r="N1738" s="9"/>
      <c r="O1738" s="9"/>
      <c r="P1738" s="9"/>
    </row>
    <row r="1739" spans="2:16" x14ac:dyDescent="0.2">
      <c r="B1739" s="9"/>
      <c r="C1739" s="9"/>
      <c r="D1739" s="9"/>
      <c r="E1739" s="9"/>
      <c r="F1739" s="9"/>
      <c r="G1739" s="9"/>
      <c r="H1739" s="9"/>
      <c r="I1739" s="9"/>
      <c r="J1739" s="9"/>
      <c r="K1739" s="9"/>
      <c r="L1739" s="9"/>
      <c r="M1739" s="9"/>
      <c r="N1739" s="9"/>
      <c r="O1739" s="9"/>
      <c r="P1739" s="9"/>
    </row>
    <row r="1740" spans="2:16" x14ac:dyDescent="0.2">
      <c r="B1740" s="9"/>
      <c r="C1740" s="9"/>
      <c r="D1740" s="9"/>
      <c r="E1740" s="9"/>
      <c r="F1740" s="9"/>
      <c r="G1740" s="9"/>
      <c r="H1740" s="9"/>
      <c r="I1740" s="9"/>
      <c r="J1740" s="9"/>
      <c r="K1740" s="9"/>
      <c r="L1740" s="9"/>
      <c r="M1740" s="9"/>
      <c r="N1740" s="9"/>
      <c r="O1740" s="9"/>
      <c r="P1740" s="9"/>
    </row>
    <row r="1741" spans="2:16" x14ac:dyDescent="0.2">
      <c r="B1741" s="9"/>
      <c r="C1741" s="9"/>
      <c r="D1741" s="9"/>
      <c r="E1741" s="9"/>
      <c r="F1741" s="9"/>
      <c r="G1741" s="9"/>
      <c r="H1741" s="9"/>
      <c r="I1741" s="9"/>
      <c r="J1741" s="9"/>
      <c r="K1741" s="9"/>
      <c r="L1741" s="9"/>
      <c r="M1741" s="9"/>
      <c r="N1741" s="9"/>
      <c r="O1741" s="9"/>
      <c r="P1741" s="9"/>
    </row>
    <row r="1742" spans="2:16" x14ac:dyDescent="0.2">
      <c r="B1742" s="9"/>
      <c r="C1742" s="9"/>
      <c r="D1742" s="9"/>
      <c r="E1742" s="9"/>
      <c r="F1742" s="9"/>
      <c r="G1742" s="9"/>
      <c r="H1742" s="9"/>
      <c r="I1742" s="9"/>
      <c r="J1742" s="9"/>
      <c r="K1742" s="9"/>
      <c r="L1742" s="9"/>
      <c r="M1742" s="9"/>
      <c r="N1742" s="9"/>
      <c r="O1742" s="9"/>
      <c r="P1742" s="9"/>
    </row>
    <row r="1743" spans="2:16" x14ac:dyDescent="0.2">
      <c r="B1743" s="9"/>
      <c r="C1743" s="9"/>
      <c r="D1743" s="9"/>
      <c r="E1743" s="9"/>
      <c r="F1743" s="9"/>
      <c r="G1743" s="9"/>
      <c r="H1743" s="9"/>
      <c r="I1743" s="9"/>
      <c r="J1743" s="9"/>
      <c r="K1743" s="9"/>
      <c r="L1743" s="9"/>
      <c r="M1743" s="9"/>
      <c r="N1743" s="9"/>
      <c r="O1743" s="9"/>
      <c r="P1743" s="9"/>
    </row>
    <row r="1744" spans="2:16" x14ac:dyDescent="0.2">
      <c r="B1744" s="9"/>
      <c r="C1744" s="9"/>
      <c r="D1744" s="9"/>
      <c r="E1744" s="9"/>
      <c r="F1744" s="9"/>
      <c r="G1744" s="9"/>
      <c r="H1744" s="9"/>
      <c r="I1744" s="9"/>
      <c r="J1744" s="9"/>
      <c r="K1744" s="9"/>
      <c r="L1744" s="9"/>
      <c r="M1744" s="9"/>
      <c r="N1744" s="9"/>
      <c r="O1744" s="9"/>
      <c r="P1744" s="9"/>
    </row>
    <row r="1745" spans="2:16" x14ac:dyDescent="0.2">
      <c r="B1745" s="9"/>
      <c r="C1745" s="9"/>
      <c r="D1745" s="9"/>
      <c r="E1745" s="9"/>
      <c r="F1745" s="9"/>
      <c r="G1745" s="9"/>
      <c r="H1745" s="9"/>
      <c r="I1745" s="9"/>
      <c r="J1745" s="9"/>
      <c r="K1745" s="9"/>
      <c r="L1745" s="9"/>
      <c r="M1745" s="9"/>
      <c r="N1745" s="9"/>
      <c r="O1745" s="9"/>
      <c r="P1745" s="9"/>
    </row>
    <row r="1746" spans="2:16" x14ac:dyDescent="0.2">
      <c r="B1746" s="9"/>
      <c r="C1746" s="9"/>
      <c r="D1746" s="9"/>
      <c r="E1746" s="9"/>
      <c r="F1746" s="9"/>
      <c r="G1746" s="9"/>
      <c r="H1746" s="9"/>
      <c r="I1746" s="9"/>
      <c r="J1746" s="9"/>
      <c r="K1746" s="9"/>
      <c r="L1746" s="9"/>
      <c r="M1746" s="9"/>
      <c r="N1746" s="9"/>
      <c r="O1746" s="9"/>
      <c r="P1746" s="9"/>
    </row>
    <row r="1747" spans="2:16" x14ac:dyDescent="0.2">
      <c r="B1747" s="9"/>
      <c r="C1747" s="9"/>
      <c r="D1747" s="9"/>
      <c r="E1747" s="9"/>
      <c r="F1747" s="9"/>
      <c r="G1747" s="9"/>
      <c r="H1747" s="9"/>
      <c r="I1747" s="9"/>
      <c r="J1747" s="9"/>
      <c r="K1747" s="9"/>
      <c r="L1747" s="9"/>
      <c r="M1747" s="9"/>
      <c r="N1747" s="9"/>
      <c r="O1747" s="9"/>
      <c r="P1747" s="9"/>
    </row>
    <row r="1748" spans="2:16" x14ac:dyDescent="0.2">
      <c r="B1748" s="9"/>
      <c r="C1748" s="9"/>
      <c r="D1748" s="9"/>
      <c r="E1748" s="9"/>
      <c r="F1748" s="9"/>
      <c r="G1748" s="9"/>
      <c r="H1748" s="9"/>
      <c r="I1748" s="9"/>
      <c r="J1748" s="9"/>
      <c r="K1748" s="9"/>
      <c r="L1748" s="9"/>
      <c r="M1748" s="9"/>
      <c r="N1748" s="9"/>
      <c r="O1748" s="9"/>
      <c r="P1748" s="9"/>
    </row>
    <row r="1749" spans="2:16" x14ac:dyDescent="0.2">
      <c r="B1749" s="9"/>
      <c r="C1749" s="9"/>
      <c r="D1749" s="9"/>
      <c r="E1749" s="9"/>
      <c r="F1749" s="9"/>
      <c r="G1749" s="9"/>
      <c r="H1749" s="9"/>
      <c r="I1749" s="9"/>
      <c r="J1749" s="9"/>
      <c r="K1749" s="9"/>
      <c r="L1749" s="9"/>
      <c r="M1749" s="9"/>
      <c r="N1749" s="9"/>
      <c r="O1749" s="9"/>
      <c r="P1749" s="9"/>
    </row>
    <row r="1750" spans="2:16" x14ac:dyDescent="0.2">
      <c r="B1750" s="9"/>
      <c r="C1750" s="9"/>
      <c r="D1750" s="9"/>
      <c r="E1750" s="9"/>
      <c r="F1750" s="9"/>
      <c r="G1750" s="9"/>
      <c r="H1750" s="9"/>
      <c r="I1750" s="9"/>
      <c r="J1750" s="9"/>
      <c r="K1750" s="9"/>
      <c r="L1750" s="9"/>
      <c r="M1750" s="9"/>
      <c r="N1750" s="9"/>
      <c r="O1750" s="9"/>
      <c r="P1750" s="9"/>
    </row>
    <row r="1751" spans="2:16" x14ac:dyDescent="0.2">
      <c r="B1751" s="9"/>
      <c r="C1751" s="9"/>
      <c r="D1751" s="9"/>
      <c r="E1751" s="9"/>
      <c r="F1751" s="9"/>
      <c r="G1751" s="9"/>
      <c r="H1751" s="9"/>
      <c r="I1751" s="9"/>
      <c r="J1751" s="9"/>
      <c r="K1751" s="9"/>
      <c r="L1751" s="9"/>
      <c r="M1751" s="9"/>
      <c r="N1751" s="9"/>
      <c r="O1751" s="9"/>
      <c r="P1751" s="9"/>
    </row>
    <row r="1752" spans="2:16" x14ac:dyDescent="0.2">
      <c r="B1752" s="9"/>
      <c r="C1752" s="9"/>
      <c r="D1752" s="9"/>
      <c r="E1752" s="9"/>
      <c r="F1752" s="9"/>
      <c r="G1752" s="9"/>
      <c r="H1752" s="9"/>
      <c r="I1752" s="9"/>
      <c r="J1752" s="9"/>
      <c r="K1752" s="9"/>
      <c r="L1752" s="9"/>
      <c r="M1752" s="9"/>
      <c r="N1752" s="9"/>
      <c r="O1752" s="9"/>
      <c r="P1752" s="9"/>
    </row>
    <row r="1753" spans="2:16" x14ac:dyDescent="0.2">
      <c r="B1753" s="9"/>
      <c r="C1753" s="9"/>
      <c r="D1753" s="9"/>
      <c r="E1753" s="9"/>
      <c r="F1753" s="9"/>
      <c r="G1753" s="9"/>
      <c r="H1753" s="9"/>
      <c r="I1753" s="9"/>
      <c r="J1753" s="9"/>
      <c r="K1753" s="9"/>
      <c r="L1753" s="9"/>
      <c r="M1753" s="9"/>
      <c r="N1753" s="9"/>
      <c r="O1753" s="9"/>
      <c r="P1753" s="9"/>
    </row>
    <row r="1754" spans="2:16" x14ac:dyDescent="0.2">
      <c r="B1754" s="9"/>
      <c r="C1754" s="9"/>
      <c r="D1754" s="9"/>
      <c r="E1754" s="9"/>
      <c r="F1754" s="9"/>
      <c r="G1754" s="9"/>
      <c r="H1754" s="9"/>
      <c r="I1754" s="9"/>
      <c r="J1754" s="9"/>
      <c r="K1754" s="9"/>
      <c r="L1754" s="9"/>
      <c r="M1754" s="9"/>
      <c r="N1754" s="9"/>
      <c r="O1754" s="9"/>
      <c r="P1754" s="9"/>
    </row>
    <row r="1755" spans="2:16" x14ac:dyDescent="0.2">
      <c r="B1755" s="9"/>
      <c r="C1755" s="9"/>
      <c r="D1755" s="9"/>
      <c r="E1755" s="9"/>
      <c r="F1755" s="9"/>
      <c r="G1755" s="9"/>
      <c r="H1755" s="9"/>
      <c r="I1755" s="9"/>
      <c r="J1755" s="9"/>
      <c r="K1755" s="9"/>
      <c r="L1755" s="9"/>
      <c r="M1755" s="9"/>
      <c r="N1755" s="9"/>
      <c r="O1755" s="9"/>
      <c r="P1755" s="9"/>
    </row>
    <row r="1756" spans="2:16" x14ac:dyDescent="0.2">
      <c r="B1756" s="9"/>
      <c r="C1756" s="9"/>
      <c r="D1756" s="9"/>
      <c r="E1756" s="9"/>
      <c r="F1756" s="9"/>
      <c r="G1756" s="9"/>
      <c r="H1756" s="9"/>
      <c r="I1756" s="9"/>
      <c r="J1756" s="9"/>
      <c r="K1756" s="9"/>
      <c r="L1756" s="9"/>
      <c r="M1756" s="9"/>
      <c r="N1756" s="9"/>
      <c r="O1756" s="9"/>
      <c r="P1756" s="9"/>
    </row>
    <row r="1757" spans="2:16" x14ac:dyDescent="0.2">
      <c r="B1757" s="9"/>
      <c r="C1757" s="9"/>
      <c r="D1757" s="9"/>
      <c r="E1757" s="9"/>
      <c r="F1757" s="9"/>
      <c r="G1757" s="9"/>
      <c r="H1757" s="9"/>
      <c r="I1757" s="9"/>
      <c r="J1757" s="9"/>
      <c r="K1757" s="9"/>
      <c r="L1757" s="9"/>
      <c r="M1757" s="9"/>
      <c r="N1757" s="9"/>
      <c r="O1757" s="9"/>
      <c r="P1757" s="9"/>
    </row>
    <row r="1758" spans="2:16" x14ac:dyDescent="0.2">
      <c r="B1758" s="9"/>
      <c r="C1758" s="9"/>
      <c r="D1758" s="9"/>
      <c r="E1758" s="9"/>
      <c r="F1758" s="9"/>
      <c r="G1758" s="9"/>
      <c r="H1758" s="9"/>
      <c r="I1758" s="9"/>
      <c r="J1758" s="9"/>
      <c r="K1758" s="9"/>
      <c r="L1758" s="9"/>
      <c r="M1758" s="9"/>
      <c r="N1758" s="9"/>
      <c r="O1758" s="9"/>
      <c r="P1758" s="9"/>
    </row>
    <row r="1759" spans="2:16" x14ac:dyDescent="0.2">
      <c r="B1759" s="9"/>
      <c r="C1759" s="9"/>
      <c r="D1759" s="9"/>
      <c r="E1759" s="9"/>
      <c r="F1759" s="9"/>
      <c r="G1759" s="9"/>
      <c r="H1759" s="9"/>
      <c r="I1759" s="9"/>
      <c r="J1759" s="9"/>
      <c r="K1759" s="9"/>
      <c r="L1759" s="9"/>
      <c r="M1759" s="9"/>
      <c r="N1759" s="9"/>
      <c r="O1759" s="9"/>
      <c r="P1759" s="9"/>
    </row>
    <row r="1760" spans="2:16" x14ac:dyDescent="0.2">
      <c r="B1760" s="9"/>
      <c r="C1760" s="9"/>
      <c r="D1760" s="9"/>
      <c r="E1760" s="9"/>
      <c r="F1760" s="9"/>
      <c r="G1760" s="9"/>
      <c r="H1760" s="9"/>
      <c r="I1760" s="9"/>
      <c r="J1760" s="9"/>
      <c r="K1760" s="9"/>
      <c r="L1760" s="9"/>
      <c r="M1760" s="9"/>
      <c r="N1760" s="9"/>
      <c r="O1760" s="9"/>
      <c r="P1760" s="9"/>
    </row>
    <row r="1761" spans="2:16" x14ac:dyDescent="0.2">
      <c r="B1761" s="9"/>
      <c r="C1761" s="9"/>
      <c r="D1761" s="9"/>
      <c r="E1761" s="9"/>
      <c r="F1761" s="9"/>
      <c r="G1761" s="9"/>
      <c r="H1761" s="9"/>
      <c r="I1761" s="9"/>
      <c r="J1761" s="9"/>
      <c r="K1761" s="9"/>
      <c r="L1761" s="9"/>
      <c r="M1761" s="9"/>
      <c r="N1761" s="9"/>
      <c r="O1761" s="9"/>
      <c r="P1761" s="9"/>
    </row>
    <row r="1762" spans="2:16" x14ac:dyDescent="0.2">
      <c r="B1762" s="9"/>
      <c r="C1762" s="9"/>
      <c r="D1762" s="9"/>
      <c r="E1762" s="9"/>
      <c r="F1762" s="9"/>
      <c r="G1762" s="9"/>
      <c r="H1762" s="9"/>
      <c r="I1762" s="9"/>
      <c r="J1762" s="9"/>
      <c r="K1762" s="9"/>
      <c r="L1762" s="9"/>
      <c r="M1762" s="9"/>
      <c r="N1762" s="9"/>
      <c r="O1762" s="9"/>
      <c r="P1762" s="9"/>
    </row>
    <row r="1763" spans="2:16" x14ac:dyDescent="0.2">
      <c r="B1763" s="9"/>
      <c r="C1763" s="9"/>
      <c r="D1763" s="9"/>
      <c r="E1763" s="9"/>
      <c r="F1763" s="9"/>
      <c r="G1763" s="9"/>
      <c r="H1763" s="9"/>
      <c r="I1763" s="9"/>
      <c r="J1763" s="9"/>
      <c r="K1763" s="9"/>
      <c r="L1763" s="9"/>
      <c r="M1763" s="9"/>
      <c r="N1763" s="9"/>
      <c r="O1763" s="9"/>
      <c r="P1763" s="9"/>
    </row>
    <row r="1764" spans="2:16" x14ac:dyDescent="0.2">
      <c r="B1764" s="9"/>
      <c r="C1764" s="9"/>
      <c r="D1764" s="9"/>
      <c r="E1764" s="9"/>
      <c r="F1764" s="9"/>
      <c r="G1764" s="9"/>
      <c r="H1764" s="9"/>
      <c r="I1764" s="9"/>
      <c r="J1764" s="9"/>
      <c r="K1764" s="9"/>
      <c r="L1764" s="9"/>
      <c r="M1764" s="9"/>
      <c r="N1764" s="9"/>
      <c r="O1764" s="9"/>
      <c r="P1764" s="9"/>
    </row>
    <row r="1765" spans="2:16" x14ac:dyDescent="0.2">
      <c r="B1765" s="9"/>
      <c r="C1765" s="9"/>
      <c r="D1765" s="9"/>
      <c r="E1765" s="9"/>
      <c r="F1765" s="9"/>
      <c r="G1765" s="9"/>
      <c r="H1765" s="9"/>
      <c r="I1765" s="9"/>
      <c r="J1765" s="9"/>
      <c r="K1765" s="9"/>
      <c r="L1765" s="9"/>
      <c r="M1765" s="9"/>
      <c r="N1765" s="9"/>
      <c r="O1765" s="9"/>
      <c r="P1765" s="9"/>
    </row>
    <row r="1766" spans="2:16" x14ac:dyDescent="0.2">
      <c r="B1766" s="9"/>
      <c r="C1766" s="9"/>
      <c r="D1766" s="9"/>
      <c r="E1766" s="9"/>
      <c r="F1766" s="9"/>
      <c r="G1766" s="9"/>
      <c r="H1766" s="9"/>
      <c r="I1766" s="9"/>
      <c r="J1766" s="9"/>
      <c r="K1766" s="9"/>
      <c r="L1766" s="9"/>
      <c r="M1766" s="9"/>
      <c r="N1766" s="9"/>
      <c r="O1766" s="9"/>
      <c r="P1766" s="9"/>
    </row>
    <row r="1767" spans="2:16" x14ac:dyDescent="0.2">
      <c r="B1767" s="9"/>
      <c r="C1767" s="9"/>
      <c r="D1767" s="9"/>
      <c r="E1767" s="9"/>
      <c r="F1767" s="9"/>
      <c r="G1767" s="9"/>
      <c r="H1767" s="9"/>
      <c r="I1767" s="9"/>
      <c r="J1767" s="9"/>
      <c r="K1767" s="9"/>
      <c r="L1767" s="9"/>
      <c r="M1767" s="9"/>
      <c r="N1767" s="9"/>
      <c r="O1767" s="9"/>
      <c r="P1767" s="9"/>
    </row>
    <row r="1768" spans="2:16" x14ac:dyDescent="0.2">
      <c r="B1768" s="9"/>
      <c r="C1768" s="9"/>
      <c r="D1768" s="9"/>
      <c r="E1768" s="9"/>
      <c r="F1768" s="9"/>
      <c r="G1768" s="9"/>
      <c r="H1768" s="9"/>
      <c r="I1768" s="9"/>
      <c r="J1768" s="9"/>
      <c r="K1768" s="9"/>
      <c r="L1768" s="9"/>
      <c r="M1768" s="9"/>
      <c r="N1768" s="9"/>
      <c r="O1768" s="9"/>
      <c r="P1768" s="9"/>
    </row>
    <row r="1769" spans="2:16" x14ac:dyDescent="0.2">
      <c r="B1769" s="9"/>
      <c r="C1769" s="9"/>
      <c r="D1769" s="9"/>
      <c r="E1769" s="9"/>
      <c r="F1769" s="9"/>
      <c r="G1769" s="9"/>
      <c r="H1769" s="9"/>
      <c r="I1769" s="9"/>
      <c r="J1769" s="9"/>
      <c r="K1769" s="9"/>
      <c r="L1769" s="9"/>
      <c r="M1769" s="9"/>
      <c r="N1769" s="9"/>
      <c r="O1769" s="9"/>
      <c r="P1769" s="9"/>
    </row>
    <row r="1770" spans="2:16" x14ac:dyDescent="0.2">
      <c r="B1770" s="9"/>
      <c r="C1770" s="9"/>
      <c r="D1770" s="9"/>
      <c r="E1770" s="9"/>
      <c r="F1770" s="9"/>
      <c r="G1770" s="9"/>
      <c r="H1770" s="9"/>
      <c r="I1770" s="9"/>
      <c r="J1770" s="9"/>
      <c r="K1770" s="9"/>
      <c r="L1770" s="9"/>
      <c r="M1770" s="9"/>
      <c r="N1770" s="9"/>
      <c r="O1770" s="9"/>
      <c r="P1770" s="9"/>
    </row>
    <row r="1771" spans="2:16" x14ac:dyDescent="0.2">
      <c r="B1771" s="9"/>
      <c r="C1771" s="9"/>
      <c r="D1771" s="9"/>
      <c r="E1771" s="9"/>
      <c r="F1771" s="9"/>
      <c r="G1771" s="9"/>
      <c r="H1771" s="9"/>
      <c r="I1771" s="9"/>
      <c r="J1771" s="9"/>
      <c r="K1771" s="9"/>
      <c r="L1771" s="9"/>
      <c r="M1771" s="9"/>
      <c r="N1771" s="9"/>
      <c r="O1771" s="9"/>
      <c r="P1771" s="9"/>
    </row>
    <row r="1772" spans="2:16" x14ac:dyDescent="0.2">
      <c r="B1772" s="9"/>
      <c r="C1772" s="9"/>
      <c r="D1772" s="9"/>
      <c r="E1772" s="9"/>
      <c r="F1772" s="9"/>
      <c r="G1772" s="9"/>
      <c r="H1772" s="9"/>
      <c r="I1772" s="9"/>
      <c r="J1772" s="9"/>
      <c r="K1772" s="9"/>
      <c r="L1772" s="9"/>
      <c r="M1772" s="9"/>
      <c r="N1772" s="9"/>
      <c r="O1772" s="9"/>
      <c r="P1772" s="9"/>
    </row>
    <row r="1773" spans="2:16" x14ac:dyDescent="0.2">
      <c r="B1773" s="9"/>
      <c r="C1773" s="9"/>
      <c r="D1773" s="9"/>
      <c r="E1773" s="9"/>
      <c r="F1773" s="9"/>
      <c r="G1773" s="9"/>
      <c r="H1773" s="9"/>
      <c r="I1773" s="9"/>
      <c r="J1773" s="9"/>
      <c r="K1773" s="9"/>
      <c r="L1773" s="9"/>
      <c r="M1773" s="9"/>
      <c r="N1773" s="9"/>
      <c r="O1773" s="9"/>
      <c r="P1773" s="9"/>
    </row>
    <row r="1774" spans="2:16" x14ac:dyDescent="0.2">
      <c r="B1774" s="9"/>
      <c r="C1774" s="9"/>
      <c r="D1774" s="9"/>
      <c r="E1774" s="9"/>
      <c r="F1774" s="9"/>
      <c r="G1774" s="9"/>
      <c r="H1774" s="9"/>
      <c r="I1774" s="9"/>
      <c r="J1774" s="9"/>
      <c r="K1774" s="9"/>
      <c r="L1774" s="9"/>
      <c r="M1774" s="9"/>
      <c r="N1774" s="9"/>
      <c r="O1774" s="9"/>
      <c r="P1774" s="9"/>
    </row>
    <row r="1775" spans="2:16" x14ac:dyDescent="0.2">
      <c r="B1775" s="9"/>
      <c r="C1775" s="9"/>
      <c r="D1775" s="9"/>
      <c r="E1775" s="9"/>
      <c r="F1775" s="9"/>
      <c r="G1775" s="9"/>
      <c r="H1775" s="9"/>
      <c r="I1775" s="9"/>
      <c r="J1775" s="9"/>
      <c r="K1775" s="9"/>
      <c r="L1775" s="9"/>
      <c r="M1775" s="9"/>
      <c r="N1775" s="9"/>
      <c r="O1775" s="9"/>
      <c r="P1775" s="9"/>
    </row>
    <row r="1776" spans="2:16" x14ac:dyDescent="0.2">
      <c r="B1776" s="9"/>
      <c r="C1776" s="9"/>
      <c r="D1776" s="9"/>
      <c r="E1776" s="9"/>
      <c r="F1776" s="9"/>
      <c r="G1776" s="9"/>
      <c r="H1776" s="9"/>
      <c r="I1776" s="9"/>
      <c r="J1776" s="9"/>
      <c r="K1776" s="9"/>
      <c r="L1776" s="9"/>
      <c r="M1776" s="9"/>
      <c r="N1776" s="9"/>
      <c r="O1776" s="9"/>
      <c r="P1776" s="9"/>
    </row>
    <row r="1777" spans="2:16" x14ac:dyDescent="0.2">
      <c r="B1777" s="9"/>
      <c r="C1777" s="9"/>
      <c r="D1777" s="9"/>
      <c r="E1777" s="9"/>
      <c r="F1777" s="9"/>
      <c r="G1777" s="9"/>
      <c r="H1777" s="9"/>
      <c r="I1777" s="9"/>
      <c r="J1777" s="9"/>
      <c r="K1777" s="9"/>
      <c r="L1777" s="9"/>
      <c r="M1777" s="9"/>
      <c r="N1777" s="9"/>
      <c r="O1777" s="9"/>
      <c r="P1777" s="9"/>
    </row>
    <row r="1778" spans="2:16" x14ac:dyDescent="0.2">
      <c r="B1778" s="9"/>
      <c r="C1778" s="9"/>
      <c r="D1778" s="9"/>
      <c r="E1778" s="9"/>
      <c r="F1778" s="9"/>
      <c r="G1778" s="9"/>
      <c r="H1778" s="9"/>
      <c r="I1778" s="9"/>
      <c r="J1778" s="9"/>
      <c r="K1778" s="9"/>
      <c r="L1778" s="9"/>
      <c r="M1778" s="9"/>
      <c r="N1778" s="9"/>
      <c r="O1778" s="9"/>
      <c r="P1778" s="9"/>
    </row>
    <row r="1779" spans="2:16" x14ac:dyDescent="0.2">
      <c r="B1779" s="9"/>
      <c r="C1779" s="9"/>
      <c r="D1779" s="9"/>
      <c r="E1779" s="9"/>
      <c r="F1779" s="9"/>
      <c r="G1779" s="9"/>
      <c r="H1779" s="9"/>
      <c r="I1779" s="9"/>
      <c r="J1779" s="9"/>
      <c r="K1779" s="9"/>
      <c r="L1779" s="9"/>
      <c r="M1779" s="9"/>
      <c r="N1779" s="9"/>
      <c r="O1779" s="9"/>
      <c r="P1779" s="9"/>
    </row>
    <row r="1780" spans="2:16" x14ac:dyDescent="0.2">
      <c r="B1780" s="9"/>
      <c r="C1780" s="9"/>
      <c r="D1780" s="9"/>
      <c r="E1780" s="9"/>
      <c r="F1780" s="9"/>
      <c r="G1780" s="9"/>
      <c r="H1780" s="9"/>
      <c r="I1780" s="9"/>
      <c r="J1780" s="9"/>
      <c r="K1780" s="9"/>
      <c r="L1780" s="9"/>
      <c r="M1780" s="9"/>
      <c r="N1780" s="9"/>
      <c r="O1780" s="9"/>
      <c r="P1780" s="9"/>
    </row>
    <row r="1781" spans="2:16" x14ac:dyDescent="0.2">
      <c r="B1781" s="9"/>
      <c r="C1781" s="9"/>
      <c r="D1781" s="9"/>
      <c r="E1781" s="9"/>
      <c r="F1781" s="9"/>
      <c r="G1781" s="9"/>
      <c r="H1781" s="9"/>
      <c r="I1781" s="9"/>
      <c r="J1781" s="9"/>
      <c r="K1781" s="9"/>
      <c r="L1781" s="9"/>
      <c r="M1781" s="9"/>
      <c r="N1781" s="9"/>
      <c r="O1781" s="9"/>
      <c r="P1781" s="9"/>
    </row>
    <row r="1782" spans="2:16" x14ac:dyDescent="0.2">
      <c r="B1782" s="9"/>
      <c r="C1782" s="9"/>
      <c r="D1782" s="9"/>
      <c r="E1782" s="9"/>
      <c r="F1782" s="9"/>
      <c r="G1782" s="9"/>
      <c r="H1782" s="9"/>
      <c r="I1782" s="9"/>
      <c r="J1782" s="9"/>
      <c r="K1782" s="9"/>
      <c r="L1782" s="9"/>
      <c r="M1782" s="9"/>
      <c r="N1782" s="9"/>
      <c r="O1782" s="9"/>
      <c r="P1782" s="9"/>
    </row>
    <row r="1783" spans="2:16" x14ac:dyDescent="0.2">
      <c r="B1783" s="9"/>
      <c r="C1783" s="9"/>
      <c r="D1783" s="9"/>
      <c r="E1783" s="9"/>
      <c r="F1783" s="9"/>
      <c r="G1783" s="9"/>
      <c r="H1783" s="9"/>
      <c r="I1783" s="9"/>
      <c r="J1783" s="9"/>
      <c r="K1783" s="9"/>
      <c r="L1783" s="9"/>
      <c r="M1783" s="9"/>
      <c r="N1783" s="9"/>
      <c r="O1783" s="9"/>
      <c r="P1783" s="9"/>
    </row>
    <row r="1784" spans="2:16" x14ac:dyDescent="0.2">
      <c r="B1784" s="9"/>
      <c r="C1784" s="9"/>
      <c r="D1784" s="9"/>
      <c r="E1784" s="9"/>
      <c r="F1784" s="9"/>
      <c r="G1784" s="9"/>
      <c r="H1784" s="9"/>
      <c r="I1784" s="9"/>
      <c r="J1784" s="9"/>
      <c r="K1784" s="9"/>
      <c r="L1784" s="9"/>
      <c r="M1784" s="9"/>
      <c r="N1784" s="9"/>
      <c r="O1784" s="9"/>
      <c r="P1784" s="9"/>
    </row>
    <row r="1785" spans="2:16" x14ac:dyDescent="0.2">
      <c r="B1785" s="9"/>
      <c r="C1785" s="9"/>
      <c r="D1785" s="9"/>
      <c r="E1785" s="9"/>
      <c r="F1785" s="9"/>
      <c r="G1785" s="9"/>
      <c r="H1785" s="9"/>
      <c r="I1785" s="9"/>
      <c r="J1785" s="9"/>
      <c r="K1785" s="9"/>
      <c r="L1785" s="9"/>
      <c r="M1785" s="9"/>
      <c r="N1785" s="9"/>
      <c r="O1785" s="9"/>
      <c r="P1785" s="9"/>
    </row>
    <row r="1786" spans="2:16" x14ac:dyDescent="0.2">
      <c r="B1786" s="9"/>
      <c r="C1786" s="9"/>
      <c r="D1786" s="9"/>
      <c r="E1786" s="9"/>
      <c r="F1786" s="9"/>
      <c r="G1786" s="9"/>
      <c r="H1786" s="9"/>
      <c r="I1786" s="9"/>
      <c r="J1786" s="9"/>
      <c r="K1786" s="9"/>
      <c r="L1786" s="9"/>
      <c r="M1786" s="9"/>
      <c r="N1786" s="9"/>
      <c r="O1786" s="9"/>
      <c r="P1786" s="9"/>
    </row>
    <row r="1787" spans="2:16" x14ac:dyDescent="0.2">
      <c r="B1787" s="9"/>
      <c r="C1787" s="9"/>
      <c r="D1787" s="9"/>
      <c r="E1787" s="9"/>
      <c r="F1787" s="9"/>
      <c r="G1787" s="9"/>
      <c r="H1787" s="9"/>
      <c r="I1787" s="9"/>
      <c r="J1787" s="9"/>
      <c r="K1787" s="9"/>
      <c r="L1787" s="9"/>
      <c r="M1787" s="9"/>
      <c r="N1787" s="9"/>
      <c r="O1787" s="9"/>
      <c r="P1787" s="9"/>
    </row>
    <row r="1788" spans="2:16" x14ac:dyDescent="0.2">
      <c r="B1788" s="9"/>
      <c r="C1788" s="9"/>
      <c r="D1788" s="9"/>
      <c r="E1788" s="9"/>
      <c r="F1788" s="9"/>
      <c r="G1788" s="9"/>
      <c r="H1788" s="9"/>
      <c r="I1788" s="9"/>
      <c r="J1788" s="9"/>
      <c r="K1788" s="9"/>
      <c r="L1788" s="9"/>
      <c r="M1788" s="9"/>
      <c r="N1788" s="9"/>
      <c r="O1788" s="9"/>
      <c r="P1788" s="9"/>
    </row>
    <row r="1789" spans="2:16" x14ac:dyDescent="0.2">
      <c r="B1789" s="9"/>
      <c r="C1789" s="9"/>
      <c r="D1789" s="9"/>
      <c r="E1789" s="9"/>
      <c r="F1789" s="9"/>
      <c r="G1789" s="9"/>
      <c r="H1789" s="9"/>
      <c r="I1789" s="9"/>
      <c r="J1789" s="9"/>
      <c r="K1789" s="9"/>
      <c r="L1789" s="9"/>
      <c r="M1789" s="9"/>
      <c r="N1789" s="9"/>
      <c r="O1789" s="9"/>
      <c r="P1789" s="9"/>
    </row>
    <row r="1790" spans="2:16" x14ac:dyDescent="0.2">
      <c r="B1790" s="9"/>
      <c r="C1790" s="9"/>
      <c r="D1790" s="9"/>
      <c r="E1790" s="9"/>
      <c r="F1790" s="9"/>
      <c r="G1790" s="9"/>
      <c r="H1790" s="9"/>
      <c r="I1790" s="9"/>
      <c r="J1790" s="9"/>
      <c r="K1790" s="9"/>
      <c r="L1790" s="9"/>
      <c r="M1790" s="9"/>
      <c r="N1790" s="9"/>
      <c r="O1790" s="9"/>
      <c r="P1790" s="9"/>
    </row>
    <row r="1791" spans="2:16" x14ac:dyDescent="0.2">
      <c r="B1791" s="9"/>
      <c r="C1791" s="9"/>
      <c r="D1791" s="9"/>
      <c r="E1791" s="9"/>
      <c r="F1791" s="9"/>
      <c r="G1791" s="9"/>
      <c r="H1791" s="9"/>
      <c r="I1791" s="9"/>
      <c r="J1791" s="9"/>
      <c r="K1791" s="9"/>
      <c r="L1791" s="9"/>
      <c r="M1791" s="9"/>
      <c r="N1791" s="9"/>
      <c r="O1791" s="9"/>
      <c r="P1791" s="9"/>
    </row>
    <row r="1792" spans="2:16" x14ac:dyDescent="0.2">
      <c r="B1792" s="9"/>
      <c r="C1792" s="9"/>
      <c r="D1792" s="9"/>
      <c r="E1792" s="9"/>
      <c r="F1792" s="9"/>
      <c r="G1792" s="9"/>
      <c r="H1792" s="9"/>
      <c r="I1792" s="9"/>
      <c r="J1792" s="9"/>
      <c r="K1792" s="9"/>
      <c r="L1792" s="9"/>
      <c r="M1792" s="9"/>
      <c r="N1792" s="9"/>
      <c r="O1792" s="9"/>
      <c r="P1792" s="9"/>
    </row>
    <row r="1793" spans="2:16" x14ac:dyDescent="0.2">
      <c r="B1793" s="9"/>
      <c r="C1793" s="9"/>
      <c r="D1793" s="9"/>
      <c r="E1793" s="9"/>
      <c r="F1793" s="9"/>
      <c r="G1793" s="9"/>
      <c r="H1793" s="9"/>
      <c r="I1793" s="9"/>
      <c r="J1793" s="9"/>
      <c r="K1793" s="9"/>
      <c r="L1793" s="9"/>
      <c r="M1793" s="9"/>
      <c r="N1793" s="9"/>
      <c r="O1793" s="9"/>
      <c r="P1793" s="9"/>
    </row>
    <row r="1794" spans="2:16" x14ac:dyDescent="0.2">
      <c r="B1794" s="9"/>
      <c r="C1794" s="9"/>
      <c r="D1794" s="9"/>
      <c r="E1794" s="9"/>
      <c r="F1794" s="9"/>
      <c r="G1794" s="9"/>
      <c r="H1794" s="9"/>
      <c r="I1794" s="9"/>
      <c r="J1794" s="9"/>
      <c r="K1794" s="9"/>
      <c r="L1794" s="9"/>
      <c r="M1794" s="9"/>
      <c r="N1794" s="9"/>
      <c r="O1794" s="9"/>
      <c r="P1794" s="9"/>
    </row>
    <row r="1795" spans="2:16" x14ac:dyDescent="0.2">
      <c r="B1795" s="9"/>
      <c r="C1795" s="9"/>
      <c r="D1795" s="9"/>
      <c r="E1795" s="9"/>
      <c r="F1795" s="9"/>
      <c r="G1795" s="9"/>
      <c r="H1795" s="9"/>
      <c r="I1795" s="9"/>
      <c r="J1795" s="9"/>
      <c r="K1795" s="9"/>
      <c r="L1795" s="9"/>
      <c r="M1795" s="9"/>
      <c r="N1795" s="9"/>
      <c r="O1795" s="9"/>
      <c r="P1795" s="9"/>
    </row>
    <row r="1796" spans="2:16" x14ac:dyDescent="0.2">
      <c r="B1796" s="9"/>
      <c r="C1796" s="9"/>
      <c r="D1796" s="9"/>
      <c r="E1796" s="9"/>
      <c r="F1796" s="9"/>
      <c r="G1796" s="9"/>
      <c r="H1796" s="9"/>
      <c r="I1796" s="9"/>
      <c r="J1796" s="9"/>
      <c r="K1796" s="9"/>
      <c r="L1796" s="9"/>
      <c r="M1796" s="9"/>
      <c r="N1796" s="9"/>
      <c r="O1796" s="9"/>
      <c r="P1796" s="9"/>
    </row>
    <row r="1797" spans="2:16" x14ac:dyDescent="0.2">
      <c r="B1797" s="9"/>
      <c r="C1797" s="9"/>
      <c r="D1797" s="9"/>
      <c r="E1797" s="9"/>
      <c r="F1797" s="9"/>
      <c r="G1797" s="9"/>
      <c r="H1797" s="9"/>
      <c r="I1797" s="9"/>
      <c r="J1797" s="9"/>
      <c r="K1797" s="9"/>
      <c r="L1797" s="9"/>
      <c r="M1797" s="9"/>
      <c r="N1797" s="9"/>
      <c r="O1797" s="9"/>
      <c r="P1797" s="9"/>
    </row>
    <row r="1798" spans="2:16" x14ac:dyDescent="0.2">
      <c r="B1798" s="9"/>
      <c r="C1798" s="9"/>
      <c r="D1798" s="9"/>
      <c r="E1798" s="9"/>
      <c r="F1798" s="9"/>
      <c r="G1798" s="9"/>
      <c r="H1798" s="9"/>
      <c r="I1798" s="9"/>
      <c r="J1798" s="9"/>
      <c r="K1798" s="9"/>
      <c r="L1798" s="9"/>
      <c r="M1798" s="9"/>
      <c r="N1798" s="9"/>
      <c r="O1798" s="9"/>
      <c r="P1798" s="9"/>
    </row>
    <row r="1799" spans="2:16" x14ac:dyDescent="0.2">
      <c r="B1799" s="9"/>
      <c r="C1799" s="9"/>
      <c r="D1799" s="9"/>
      <c r="E1799" s="9"/>
      <c r="F1799" s="9"/>
      <c r="G1799" s="9"/>
      <c r="H1799" s="9"/>
      <c r="I1799" s="9"/>
      <c r="J1799" s="9"/>
      <c r="K1799" s="9"/>
      <c r="L1799" s="9"/>
      <c r="M1799" s="9"/>
      <c r="N1799" s="9"/>
      <c r="O1799" s="9"/>
      <c r="P1799" s="9"/>
    </row>
    <row r="1800" spans="2:16" x14ac:dyDescent="0.2">
      <c r="B1800" s="9"/>
      <c r="C1800" s="9"/>
      <c r="D1800" s="9"/>
      <c r="E1800" s="9"/>
      <c r="F1800" s="9"/>
      <c r="G1800" s="9"/>
      <c r="H1800" s="9"/>
      <c r="I1800" s="9"/>
      <c r="J1800" s="9"/>
      <c r="K1800" s="9"/>
      <c r="L1800" s="9"/>
      <c r="M1800" s="9"/>
      <c r="N1800" s="9"/>
      <c r="O1800" s="9"/>
      <c r="P1800" s="9"/>
    </row>
    <row r="1801" spans="2:16" x14ac:dyDescent="0.2">
      <c r="B1801" s="9"/>
      <c r="C1801" s="9"/>
      <c r="D1801" s="9"/>
      <c r="E1801" s="9"/>
      <c r="F1801" s="9"/>
      <c r="G1801" s="9"/>
      <c r="H1801" s="9"/>
      <c r="I1801" s="9"/>
      <c r="J1801" s="9"/>
      <c r="K1801" s="9"/>
      <c r="L1801" s="9"/>
      <c r="M1801" s="9"/>
      <c r="N1801" s="9"/>
      <c r="O1801" s="9"/>
      <c r="P1801" s="9"/>
    </row>
    <row r="1802" spans="2:16" x14ac:dyDescent="0.2">
      <c r="B1802" s="9"/>
      <c r="C1802" s="9"/>
      <c r="D1802" s="9"/>
      <c r="E1802" s="9"/>
      <c r="F1802" s="9"/>
      <c r="G1802" s="9"/>
      <c r="H1802" s="9"/>
      <c r="I1802" s="9"/>
      <c r="J1802" s="9"/>
      <c r="K1802" s="9"/>
      <c r="L1802" s="9"/>
      <c r="M1802" s="9"/>
      <c r="N1802" s="9"/>
      <c r="O1802" s="9"/>
      <c r="P1802" s="9"/>
    </row>
    <row r="1803" spans="2:16" x14ac:dyDescent="0.2">
      <c r="B1803" s="9"/>
      <c r="C1803" s="9"/>
      <c r="D1803" s="9"/>
      <c r="E1803" s="9"/>
      <c r="F1803" s="9"/>
      <c r="G1803" s="9"/>
      <c r="H1803" s="9"/>
      <c r="I1803" s="9"/>
      <c r="J1803" s="9"/>
      <c r="K1803" s="9"/>
      <c r="L1803" s="9"/>
      <c r="M1803" s="9"/>
      <c r="N1803" s="9"/>
      <c r="O1803" s="9"/>
      <c r="P1803" s="9"/>
    </row>
    <row r="1804" spans="2:16" x14ac:dyDescent="0.2">
      <c r="B1804" s="9"/>
      <c r="C1804" s="9"/>
      <c r="D1804" s="9"/>
      <c r="E1804" s="9"/>
      <c r="F1804" s="9"/>
      <c r="G1804" s="9"/>
      <c r="H1804" s="9"/>
      <c r="I1804" s="9"/>
      <c r="J1804" s="9"/>
      <c r="K1804" s="9"/>
      <c r="L1804" s="9"/>
      <c r="M1804" s="9"/>
      <c r="N1804" s="9"/>
      <c r="O1804" s="9"/>
      <c r="P1804" s="9"/>
    </row>
    <row r="1805" spans="2:16" x14ac:dyDescent="0.2">
      <c r="B1805" s="9"/>
      <c r="C1805" s="9"/>
      <c r="D1805" s="9"/>
      <c r="E1805" s="9"/>
      <c r="F1805" s="9"/>
      <c r="G1805" s="9"/>
      <c r="H1805" s="9"/>
      <c r="I1805" s="9"/>
      <c r="J1805" s="9"/>
      <c r="K1805" s="9"/>
      <c r="L1805" s="9"/>
      <c r="M1805" s="9"/>
      <c r="N1805" s="9"/>
      <c r="O1805" s="9"/>
      <c r="P1805" s="9"/>
    </row>
    <row r="1806" spans="2:16" x14ac:dyDescent="0.2">
      <c r="B1806" s="9"/>
      <c r="C1806" s="9"/>
      <c r="D1806" s="9"/>
      <c r="E1806" s="9"/>
      <c r="F1806" s="9"/>
      <c r="G1806" s="9"/>
      <c r="H1806" s="9"/>
      <c r="I1806" s="9"/>
      <c r="J1806" s="9"/>
      <c r="K1806" s="9"/>
      <c r="L1806" s="9"/>
      <c r="M1806" s="9"/>
      <c r="N1806" s="9"/>
      <c r="O1806" s="9"/>
      <c r="P1806" s="9"/>
    </row>
    <row r="1807" spans="2:16" x14ac:dyDescent="0.2">
      <c r="B1807" s="9"/>
      <c r="C1807" s="9"/>
      <c r="D1807" s="9"/>
      <c r="E1807" s="9"/>
      <c r="F1807" s="9"/>
      <c r="G1807" s="9"/>
      <c r="H1807" s="9"/>
      <c r="I1807" s="9"/>
      <c r="J1807" s="9"/>
      <c r="K1807" s="9"/>
      <c r="L1807" s="9"/>
      <c r="M1807" s="9"/>
      <c r="N1807" s="9"/>
      <c r="O1807" s="9"/>
      <c r="P1807" s="9"/>
    </row>
    <row r="1808" spans="2:16" x14ac:dyDescent="0.2">
      <c r="B1808" s="9"/>
      <c r="C1808" s="9"/>
      <c r="D1808" s="9"/>
      <c r="E1808" s="9"/>
      <c r="F1808" s="9"/>
      <c r="G1808" s="9"/>
      <c r="H1808" s="9"/>
      <c r="I1808" s="9"/>
      <c r="J1808" s="9"/>
      <c r="K1808" s="9"/>
      <c r="L1808" s="9"/>
      <c r="M1808" s="9"/>
      <c r="N1808" s="9"/>
      <c r="O1808" s="9"/>
      <c r="P1808" s="9"/>
    </row>
    <row r="1809" spans="2:16" x14ac:dyDescent="0.2">
      <c r="B1809" s="9"/>
      <c r="C1809" s="9"/>
      <c r="D1809" s="9"/>
      <c r="E1809" s="9"/>
      <c r="F1809" s="9"/>
      <c r="G1809" s="9"/>
      <c r="H1809" s="9"/>
      <c r="I1809" s="9"/>
      <c r="J1809" s="9"/>
      <c r="K1809" s="9"/>
      <c r="L1809" s="9"/>
      <c r="M1809" s="9"/>
      <c r="N1809" s="9"/>
      <c r="O1809" s="9"/>
      <c r="P1809" s="9"/>
    </row>
    <row r="1810" spans="2:16" x14ac:dyDescent="0.2">
      <c r="B1810" s="9"/>
      <c r="C1810" s="9"/>
      <c r="D1810" s="9"/>
      <c r="E1810" s="9"/>
      <c r="F1810" s="9"/>
      <c r="G1810" s="9"/>
      <c r="H1810" s="9"/>
      <c r="I1810" s="9"/>
      <c r="J1810" s="9"/>
      <c r="K1810" s="9"/>
      <c r="L1810" s="9"/>
      <c r="M1810" s="9"/>
      <c r="N1810" s="9"/>
      <c r="O1810" s="9"/>
      <c r="P1810" s="9"/>
    </row>
    <row r="1811" spans="2:16" x14ac:dyDescent="0.2">
      <c r="B1811" s="9"/>
      <c r="C1811" s="9"/>
      <c r="D1811" s="9"/>
      <c r="E1811" s="9"/>
      <c r="F1811" s="9"/>
      <c r="G1811" s="9"/>
      <c r="H1811" s="9"/>
      <c r="I1811" s="9"/>
      <c r="J1811" s="9"/>
      <c r="K1811" s="9"/>
      <c r="L1811" s="9"/>
      <c r="M1811" s="9"/>
      <c r="N1811" s="9"/>
      <c r="O1811" s="9"/>
      <c r="P1811" s="9"/>
    </row>
    <row r="1812" spans="2:16" x14ac:dyDescent="0.2">
      <c r="B1812" s="9"/>
      <c r="C1812" s="9"/>
      <c r="D1812" s="9"/>
      <c r="E1812" s="9"/>
      <c r="F1812" s="9"/>
      <c r="G1812" s="9"/>
      <c r="H1812" s="9"/>
      <c r="I1812" s="9"/>
      <c r="J1812" s="9"/>
      <c r="K1812" s="9"/>
      <c r="L1812" s="9"/>
      <c r="M1812" s="9"/>
      <c r="N1812" s="9"/>
      <c r="O1812" s="9"/>
      <c r="P1812" s="9"/>
    </row>
    <row r="1813" spans="2:16" x14ac:dyDescent="0.2">
      <c r="B1813" s="9"/>
      <c r="C1813" s="9"/>
      <c r="D1813" s="9"/>
      <c r="E1813" s="9"/>
      <c r="F1813" s="9"/>
      <c r="G1813" s="9"/>
      <c r="H1813" s="9"/>
      <c r="I1813" s="9"/>
      <c r="J1813" s="9"/>
      <c r="K1813" s="9"/>
      <c r="L1813" s="9"/>
      <c r="M1813" s="9"/>
      <c r="N1813" s="9"/>
      <c r="O1813" s="9"/>
      <c r="P1813" s="9"/>
    </row>
    <row r="1814" spans="2:16" x14ac:dyDescent="0.2">
      <c r="B1814" s="9"/>
      <c r="C1814" s="9"/>
      <c r="D1814" s="9"/>
      <c r="E1814" s="9"/>
      <c r="F1814" s="9"/>
      <c r="G1814" s="9"/>
      <c r="H1814" s="9"/>
      <c r="I1814" s="9"/>
      <c r="J1814" s="9"/>
      <c r="K1814" s="9"/>
      <c r="L1814" s="9"/>
      <c r="M1814" s="9"/>
      <c r="N1814" s="9"/>
      <c r="O1814" s="9"/>
      <c r="P1814" s="9"/>
    </row>
    <row r="1815" spans="2:16" x14ac:dyDescent="0.2">
      <c r="B1815" s="9"/>
      <c r="C1815" s="9"/>
      <c r="D1815" s="9"/>
      <c r="E1815" s="9"/>
      <c r="F1815" s="9"/>
      <c r="G1815" s="9"/>
      <c r="H1815" s="9"/>
      <c r="I1815" s="9"/>
      <c r="J1815" s="9"/>
      <c r="K1815" s="9"/>
      <c r="L1815" s="9"/>
      <c r="M1815" s="9"/>
      <c r="N1815" s="9"/>
      <c r="O1815" s="9"/>
      <c r="P1815" s="9"/>
    </row>
    <row r="1816" spans="2:16" x14ac:dyDescent="0.2">
      <c r="B1816" s="9"/>
      <c r="C1816" s="9"/>
      <c r="D1816" s="9"/>
      <c r="E1816" s="9"/>
      <c r="F1816" s="9"/>
      <c r="G1816" s="9"/>
      <c r="H1816" s="9"/>
      <c r="I1816" s="9"/>
      <c r="J1816" s="9"/>
      <c r="K1816" s="9"/>
      <c r="L1816" s="9"/>
      <c r="M1816" s="9"/>
      <c r="N1816" s="9"/>
      <c r="O1816" s="9"/>
      <c r="P1816" s="9"/>
    </row>
    <row r="1817" spans="2:16" x14ac:dyDescent="0.2">
      <c r="B1817" s="9"/>
      <c r="C1817" s="9"/>
      <c r="D1817" s="9"/>
      <c r="E1817" s="9"/>
      <c r="F1817" s="9"/>
      <c r="G1817" s="9"/>
      <c r="H1817" s="9"/>
      <c r="I1817" s="9"/>
      <c r="J1817" s="9"/>
      <c r="K1817" s="9"/>
      <c r="L1817" s="9"/>
      <c r="M1817" s="9"/>
      <c r="N1817" s="9"/>
      <c r="O1817" s="9"/>
      <c r="P1817" s="9"/>
    </row>
    <row r="1818" spans="2:16" x14ac:dyDescent="0.2">
      <c r="B1818" s="9"/>
      <c r="C1818" s="9"/>
      <c r="D1818" s="9"/>
      <c r="E1818" s="9"/>
      <c r="F1818" s="9"/>
      <c r="G1818" s="9"/>
      <c r="H1818" s="9"/>
      <c r="I1818" s="9"/>
      <c r="J1818" s="9"/>
      <c r="K1818" s="9"/>
      <c r="L1818" s="9"/>
      <c r="M1818" s="9"/>
      <c r="N1818" s="9"/>
      <c r="O1818" s="9"/>
      <c r="P1818" s="9"/>
    </row>
    <row r="1819" spans="2:16" x14ac:dyDescent="0.2">
      <c r="B1819" s="9"/>
      <c r="C1819" s="9"/>
      <c r="D1819" s="9"/>
      <c r="E1819" s="9"/>
      <c r="F1819" s="9"/>
      <c r="G1819" s="9"/>
      <c r="H1819" s="9"/>
      <c r="I1819" s="9"/>
      <c r="J1819" s="9"/>
      <c r="K1819" s="9"/>
      <c r="L1819" s="9"/>
      <c r="M1819" s="9"/>
      <c r="N1819" s="9"/>
      <c r="O1819" s="9"/>
      <c r="P1819" s="9"/>
    </row>
    <row r="1820" spans="2:16" x14ac:dyDescent="0.2">
      <c r="B1820" s="9"/>
      <c r="C1820" s="9"/>
      <c r="D1820" s="9"/>
      <c r="E1820" s="9"/>
      <c r="F1820" s="9"/>
      <c r="G1820" s="9"/>
      <c r="H1820" s="9"/>
      <c r="I1820" s="9"/>
      <c r="J1820" s="9"/>
      <c r="K1820" s="9"/>
      <c r="L1820" s="9"/>
      <c r="M1820" s="9"/>
      <c r="N1820" s="9"/>
      <c r="O1820" s="9"/>
      <c r="P1820" s="9"/>
    </row>
    <row r="1821" spans="2:16" x14ac:dyDescent="0.2">
      <c r="B1821" s="9"/>
      <c r="C1821" s="9"/>
      <c r="D1821" s="9"/>
      <c r="E1821" s="9"/>
      <c r="F1821" s="9"/>
      <c r="G1821" s="9"/>
      <c r="H1821" s="9"/>
      <c r="I1821" s="9"/>
      <c r="J1821" s="9"/>
      <c r="K1821" s="9"/>
      <c r="L1821" s="9"/>
      <c r="M1821" s="9"/>
      <c r="N1821" s="9"/>
      <c r="O1821" s="9"/>
      <c r="P1821" s="9"/>
    </row>
    <row r="1822" spans="2:16" x14ac:dyDescent="0.2">
      <c r="B1822" s="9"/>
      <c r="C1822" s="9"/>
      <c r="D1822" s="9"/>
      <c r="E1822" s="9"/>
      <c r="F1822" s="9"/>
      <c r="G1822" s="9"/>
      <c r="H1822" s="9"/>
      <c r="I1822" s="9"/>
      <c r="J1822" s="9"/>
      <c r="K1822" s="9"/>
      <c r="L1822" s="9"/>
      <c r="M1822" s="9"/>
      <c r="N1822" s="9"/>
      <c r="O1822" s="9"/>
      <c r="P1822" s="9"/>
    </row>
    <row r="1823" spans="2:16" x14ac:dyDescent="0.2">
      <c r="B1823" s="9"/>
      <c r="C1823" s="9"/>
      <c r="D1823" s="9"/>
      <c r="E1823" s="9"/>
      <c r="F1823" s="9"/>
      <c r="G1823" s="9"/>
      <c r="H1823" s="9"/>
      <c r="I1823" s="9"/>
      <c r="J1823" s="9"/>
      <c r="K1823" s="9"/>
      <c r="L1823" s="9"/>
      <c r="M1823" s="9"/>
      <c r="N1823" s="9"/>
      <c r="O1823" s="9"/>
      <c r="P1823" s="9"/>
    </row>
    <row r="1824" spans="2:16" x14ac:dyDescent="0.2">
      <c r="B1824" s="9"/>
      <c r="C1824" s="9"/>
      <c r="D1824" s="9"/>
      <c r="E1824" s="9"/>
      <c r="F1824" s="9"/>
      <c r="G1824" s="9"/>
      <c r="H1824" s="9"/>
      <c r="I1824" s="9"/>
      <c r="J1824" s="9"/>
      <c r="K1824" s="9"/>
      <c r="L1824" s="9"/>
      <c r="M1824" s="9"/>
      <c r="N1824" s="9"/>
      <c r="O1824" s="9"/>
      <c r="P1824" s="9"/>
    </row>
    <row r="1825" spans="2:16" x14ac:dyDescent="0.2">
      <c r="B1825" s="9"/>
      <c r="C1825" s="9"/>
      <c r="D1825" s="9"/>
      <c r="E1825" s="9"/>
      <c r="F1825" s="9"/>
      <c r="G1825" s="9"/>
      <c r="H1825" s="9"/>
      <c r="I1825" s="9"/>
      <c r="J1825" s="9"/>
      <c r="K1825" s="9"/>
      <c r="L1825" s="9"/>
      <c r="M1825" s="9"/>
      <c r="N1825" s="9"/>
      <c r="O1825" s="9"/>
      <c r="P1825" s="9"/>
    </row>
    <row r="1826" spans="2:16" x14ac:dyDescent="0.2">
      <c r="B1826" s="9"/>
      <c r="C1826" s="9"/>
      <c r="D1826" s="9"/>
      <c r="E1826" s="9"/>
      <c r="F1826" s="9"/>
      <c r="G1826" s="9"/>
      <c r="H1826" s="9"/>
      <c r="I1826" s="9"/>
      <c r="J1826" s="9"/>
      <c r="K1826" s="9"/>
      <c r="L1826" s="9"/>
      <c r="M1826" s="9"/>
      <c r="N1826" s="9"/>
      <c r="O1826" s="9"/>
      <c r="P1826" s="9"/>
    </row>
    <row r="1827" spans="2:16" x14ac:dyDescent="0.2">
      <c r="B1827" s="9"/>
      <c r="C1827" s="9"/>
      <c r="D1827" s="9"/>
      <c r="E1827" s="9"/>
      <c r="F1827" s="9"/>
      <c r="G1827" s="9"/>
      <c r="H1827" s="9"/>
      <c r="I1827" s="9"/>
      <c r="J1827" s="9"/>
      <c r="K1827" s="9"/>
      <c r="L1827" s="9"/>
      <c r="M1827" s="9"/>
      <c r="N1827" s="9"/>
      <c r="O1827" s="9"/>
      <c r="P1827" s="9"/>
    </row>
    <row r="1828" spans="2:16" x14ac:dyDescent="0.2">
      <c r="B1828" s="9"/>
      <c r="C1828" s="9"/>
      <c r="D1828" s="9"/>
      <c r="E1828" s="9"/>
      <c r="F1828" s="9"/>
      <c r="G1828" s="9"/>
      <c r="H1828" s="9"/>
      <c r="I1828" s="9"/>
      <c r="J1828" s="9"/>
      <c r="K1828" s="9"/>
      <c r="L1828" s="9"/>
      <c r="M1828" s="9"/>
      <c r="N1828" s="9"/>
      <c r="O1828" s="9"/>
      <c r="P1828" s="9"/>
    </row>
    <row r="1829" spans="2:16" x14ac:dyDescent="0.2">
      <c r="B1829" s="9"/>
      <c r="C1829" s="9"/>
      <c r="D1829" s="9"/>
      <c r="E1829" s="9"/>
      <c r="F1829" s="9"/>
      <c r="G1829" s="9"/>
      <c r="H1829" s="9"/>
      <c r="I1829" s="9"/>
      <c r="J1829" s="9"/>
      <c r="K1829" s="9"/>
      <c r="L1829" s="9"/>
      <c r="M1829" s="9"/>
      <c r="N1829" s="9"/>
      <c r="O1829" s="9"/>
      <c r="P1829" s="9"/>
    </row>
    <row r="1830" spans="2:16" x14ac:dyDescent="0.2">
      <c r="B1830" s="9"/>
      <c r="C1830" s="9"/>
      <c r="D1830" s="9"/>
      <c r="E1830" s="9"/>
      <c r="F1830" s="9"/>
      <c r="G1830" s="9"/>
      <c r="H1830" s="9"/>
      <c r="I1830" s="9"/>
      <c r="J1830" s="9"/>
      <c r="K1830" s="9"/>
      <c r="L1830" s="9"/>
      <c r="M1830" s="9"/>
      <c r="N1830" s="9"/>
      <c r="O1830" s="9"/>
      <c r="P1830" s="9"/>
    </row>
    <row r="1831" spans="2:16" x14ac:dyDescent="0.2">
      <c r="B1831" s="9"/>
      <c r="C1831" s="9"/>
      <c r="D1831" s="9"/>
      <c r="E1831" s="9"/>
      <c r="F1831" s="9"/>
      <c r="G1831" s="9"/>
      <c r="H1831" s="9"/>
      <c r="I1831" s="9"/>
      <c r="J1831" s="9"/>
      <c r="K1831" s="9"/>
      <c r="L1831" s="9"/>
      <c r="M1831" s="9"/>
      <c r="N1831" s="9"/>
      <c r="O1831" s="9"/>
      <c r="P1831" s="9"/>
    </row>
    <row r="1832" spans="2:16" x14ac:dyDescent="0.2">
      <c r="B1832" s="9"/>
      <c r="C1832" s="9"/>
      <c r="D1832" s="9"/>
      <c r="E1832" s="9"/>
      <c r="F1832" s="9"/>
      <c r="G1832" s="9"/>
      <c r="H1832" s="9"/>
      <c r="I1832" s="9"/>
      <c r="J1832" s="9"/>
      <c r="K1832" s="9"/>
      <c r="L1832" s="9"/>
      <c r="M1832" s="9"/>
      <c r="N1832" s="9"/>
      <c r="O1832" s="9"/>
      <c r="P1832" s="9"/>
    </row>
    <row r="1833" spans="2:16" x14ac:dyDescent="0.2">
      <c r="B1833" s="9"/>
      <c r="C1833" s="9"/>
      <c r="D1833" s="9"/>
      <c r="E1833" s="9"/>
      <c r="F1833" s="9"/>
      <c r="G1833" s="9"/>
      <c r="H1833" s="9"/>
      <c r="I1833" s="9"/>
      <c r="J1833" s="9"/>
      <c r="K1833" s="9"/>
      <c r="L1833" s="9"/>
      <c r="M1833" s="9"/>
      <c r="N1833" s="9"/>
      <c r="O1833" s="9"/>
      <c r="P1833" s="9"/>
    </row>
    <row r="1834" spans="2:16" x14ac:dyDescent="0.2">
      <c r="B1834" s="9"/>
      <c r="C1834" s="9"/>
      <c r="D1834" s="9"/>
      <c r="E1834" s="9"/>
      <c r="F1834" s="9"/>
      <c r="G1834" s="9"/>
      <c r="H1834" s="9"/>
      <c r="I1834" s="9"/>
      <c r="J1834" s="9"/>
      <c r="K1834" s="9"/>
      <c r="L1834" s="9"/>
      <c r="M1834" s="9"/>
      <c r="N1834" s="9"/>
      <c r="O1834" s="9"/>
      <c r="P1834" s="9"/>
    </row>
    <row r="1835" spans="2:16" x14ac:dyDescent="0.2">
      <c r="B1835" s="9"/>
      <c r="C1835" s="9"/>
      <c r="D1835" s="9"/>
      <c r="E1835" s="9"/>
      <c r="F1835" s="9"/>
      <c r="G1835" s="9"/>
      <c r="H1835" s="9"/>
      <c r="I1835" s="9"/>
      <c r="J1835" s="9"/>
      <c r="K1835" s="9"/>
      <c r="L1835" s="9"/>
      <c r="M1835" s="9"/>
      <c r="N1835" s="9"/>
      <c r="O1835" s="9"/>
      <c r="P1835" s="9"/>
    </row>
    <row r="1836" spans="2:16" x14ac:dyDescent="0.2">
      <c r="B1836" s="9"/>
      <c r="C1836" s="9"/>
      <c r="D1836" s="9"/>
      <c r="E1836" s="9"/>
      <c r="F1836" s="9"/>
      <c r="G1836" s="9"/>
      <c r="H1836" s="9"/>
      <c r="I1836" s="9"/>
      <c r="J1836" s="9"/>
      <c r="K1836" s="9"/>
      <c r="L1836" s="9"/>
      <c r="M1836" s="9"/>
      <c r="N1836" s="9"/>
      <c r="O1836" s="9"/>
      <c r="P1836" s="9"/>
    </row>
    <row r="1837" spans="2:16" x14ac:dyDescent="0.2">
      <c r="B1837" s="9"/>
      <c r="C1837" s="9"/>
      <c r="D1837" s="9"/>
      <c r="E1837" s="9"/>
      <c r="F1837" s="9"/>
      <c r="G1837" s="9"/>
      <c r="H1837" s="9"/>
      <c r="I1837" s="9"/>
      <c r="J1837" s="9"/>
      <c r="K1837" s="9"/>
      <c r="L1837" s="9"/>
      <c r="M1837" s="9"/>
      <c r="N1837" s="9"/>
      <c r="O1837" s="9"/>
      <c r="P1837" s="9"/>
    </row>
    <row r="1838" spans="2:16" x14ac:dyDescent="0.2">
      <c r="B1838" s="9"/>
      <c r="C1838" s="9"/>
      <c r="D1838" s="9"/>
      <c r="E1838" s="9"/>
      <c r="F1838" s="9"/>
      <c r="G1838" s="9"/>
      <c r="H1838" s="9"/>
      <c r="I1838" s="9"/>
      <c r="J1838" s="9"/>
      <c r="K1838" s="9"/>
      <c r="L1838" s="9"/>
      <c r="M1838" s="9"/>
      <c r="N1838" s="9"/>
      <c r="O1838" s="9"/>
      <c r="P1838" s="9"/>
    </row>
    <row r="1839" spans="2:16" x14ac:dyDescent="0.2">
      <c r="B1839" s="9"/>
      <c r="C1839" s="9"/>
      <c r="D1839" s="9"/>
      <c r="E1839" s="9"/>
      <c r="F1839" s="9"/>
      <c r="G1839" s="9"/>
      <c r="H1839" s="9"/>
      <c r="I1839" s="9"/>
      <c r="J1839" s="9"/>
      <c r="K1839" s="9"/>
      <c r="L1839" s="9"/>
      <c r="M1839" s="9"/>
      <c r="N1839" s="9"/>
      <c r="O1839" s="9"/>
      <c r="P1839" s="9"/>
    </row>
    <row r="1840" spans="2:16" x14ac:dyDescent="0.2">
      <c r="B1840" s="9"/>
      <c r="C1840" s="9"/>
      <c r="D1840" s="9"/>
      <c r="E1840" s="9"/>
      <c r="F1840" s="9"/>
      <c r="G1840" s="9"/>
      <c r="H1840" s="9"/>
      <c r="I1840" s="9"/>
      <c r="J1840" s="9"/>
      <c r="K1840" s="9"/>
      <c r="L1840" s="9"/>
      <c r="M1840" s="9"/>
      <c r="N1840" s="9"/>
      <c r="O1840" s="9"/>
      <c r="P1840" s="9"/>
    </row>
    <row r="1841" spans="2:16" x14ac:dyDescent="0.2">
      <c r="B1841" s="9"/>
      <c r="C1841" s="9"/>
      <c r="D1841" s="9"/>
      <c r="E1841" s="9"/>
      <c r="F1841" s="9"/>
      <c r="G1841" s="9"/>
      <c r="H1841" s="9"/>
      <c r="I1841" s="9"/>
      <c r="J1841" s="9"/>
      <c r="K1841" s="9"/>
      <c r="L1841" s="9"/>
      <c r="M1841" s="9"/>
      <c r="N1841" s="9"/>
      <c r="O1841" s="9"/>
      <c r="P1841" s="9"/>
    </row>
    <row r="1842" spans="2:16" x14ac:dyDescent="0.2">
      <c r="B1842" s="9"/>
      <c r="C1842" s="9"/>
      <c r="D1842" s="9"/>
      <c r="E1842" s="9"/>
      <c r="F1842" s="9"/>
      <c r="G1842" s="9"/>
      <c r="H1842" s="9"/>
      <c r="I1842" s="9"/>
      <c r="J1842" s="9"/>
      <c r="K1842" s="9"/>
      <c r="L1842" s="9"/>
      <c r="M1842" s="9"/>
      <c r="N1842" s="9"/>
      <c r="O1842" s="9"/>
      <c r="P1842" s="9"/>
    </row>
    <row r="1843" spans="2:16" x14ac:dyDescent="0.2">
      <c r="B1843" s="9"/>
      <c r="C1843" s="9"/>
      <c r="D1843" s="9"/>
      <c r="E1843" s="9"/>
      <c r="F1843" s="9"/>
      <c r="G1843" s="9"/>
      <c r="H1843" s="9"/>
      <c r="I1843" s="9"/>
      <c r="J1843" s="9"/>
      <c r="K1843" s="9"/>
      <c r="L1843" s="9"/>
      <c r="M1843" s="9"/>
      <c r="N1843" s="9"/>
      <c r="O1843" s="9"/>
      <c r="P1843" s="9"/>
    </row>
    <row r="1844" spans="2:16" x14ac:dyDescent="0.2">
      <c r="B1844" s="9"/>
      <c r="C1844" s="9"/>
      <c r="D1844" s="9"/>
      <c r="E1844" s="9"/>
      <c r="F1844" s="9"/>
      <c r="G1844" s="9"/>
      <c r="H1844" s="9"/>
      <c r="I1844" s="9"/>
      <c r="J1844" s="9"/>
      <c r="K1844" s="9"/>
      <c r="L1844" s="9"/>
      <c r="M1844" s="9"/>
      <c r="N1844" s="9"/>
      <c r="O1844" s="9"/>
      <c r="P1844" s="9"/>
    </row>
    <row r="1845" spans="2:16" x14ac:dyDescent="0.2">
      <c r="B1845" s="9"/>
      <c r="C1845" s="9"/>
      <c r="D1845" s="9"/>
      <c r="E1845" s="9"/>
      <c r="F1845" s="9"/>
      <c r="G1845" s="9"/>
      <c r="H1845" s="9"/>
      <c r="I1845" s="9"/>
      <c r="J1845" s="9"/>
      <c r="K1845" s="9"/>
      <c r="L1845" s="9"/>
      <c r="M1845" s="9"/>
      <c r="N1845" s="9"/>
      <c r="O1845" s="9"/>
      <c r="P1845" s="9"/>
    </row>
    <row r="1846" spans="2:16" x14ac:dyDescent="0.2">
      <c r="B1846" s="9"/>
      <c r="C1846" s="9"/>
      <c r="D1846" s="9"/>
      <c r="E1846" s="9"/>
      <c r="F1846" s="9"/>
      <c r="G1846" s="9"/>
      <c r="H1846" s="9"/>
      <c r="I1846" s="9"/>
      <c r="J1846" s="9"/>
      <c r="K1846" s="9"/>
      <c r="L1846" s="9"/>
      <c r="M1846" s="9"/>
      <c r="N1846" s="9"/>
      <c r="O1846" s="9"/>
      <c r="P1846" s="9"/>
    </row>
    <row r="1847" spans="2:16" x14ac:dyDescent="0.2">
      <c r="B1847" s="9"/>
      <c r="C1847" s="9"/>
      <c r="D1847" s="9"/>
      <c r="E1847" s="9"/>
      <c r="F1847" s="9"/>
      <c r="G1847" s="9"/>
      <c r="H1847" s="9"/>
      <c r="I1847" s="9"/>
      <c r="J1847" s="9"/>
      <c r="K1847" s="9"/>
      <c r="L1847" s="9"/>
      <c r="M1847" s="9"/>
      <c r="N1847" s="9"/>
      <c r="O1847" s="9"/>
      <c r="P1847" s="9"/>
    </row>
    <row r="1848" spans="2:16" x14ac:dyDescent="0.2">
      <c r="B1848" s="9"/>
      <c r="C1848" s="9"/>
      <c r="D1848" s="9"/>
      <c r="E1848" s="9"/>
      <c r="F1848" s="9"/>
      <c r="G1848" s="9"/>
      <c r="H1848" s="9"/>
      <c r="I1848" s="9"/>
      <c r="J1848" s="9"/>
      <c r="K1848" s="9"/>
      <c r="L1848" s="9"/>
      <c r="M1848" s="9"/>
      <c r="N1848" s="9"/>
      <c r="O1848" s="9"/>
      <c r="P1848" s="9"/>
    </row>
    <row r="1849" spans="2:16" x14ac:dyDescent="0.2">
      <c r="B1849" s="9"/>
      <c r="C1849" s="9"/>
      <c r="D1849" s="9"/>
      <c r="E1849" s="9"/>
      <c r="F1849" s="9"/>
      <c r="G1849" s="9"/>
      <c r="H1849" s="9"/>
      <c r="I1849" s="9"/>
      <c r="J1849" s="9"/>
      <c r="K1849" s="9"/>
      <c r="L1849" s="9"/>
      <c r="M1849" s="9"/>
      <c r="N1849" s="9"/>
      <c r="O1849" s="9"/>
      <c r="P1849" s="9"/>
    </row>
    <row r="1850" spans="2:16" x14ac:dyDescent="0.2">
      <c r="B1850" s="9"/>
      <c r="C1850" s="9"/>
      <c r="D1850" s="9"/>
      <c r="E1850" s="9"/>
      <c r="F1850" s="9"/>
      <c r="G1850" s="9"/>
      <c r="H1850" s="9"/>
      <c r="I1850" s="9"/>
      <c r="J1850" s="9"/>
      <c r="K1850" s="9"/>
      <c r="L1850" s="9"/>
      <c r="M1850" s="9"/>
      <c r="N1850" s="9"/>
      <c r="O1850" s="9"/>
      <c r="P1850" s="9"/>
    </row>
    <row r="1851" spans="2:16" x14ac:dyDescent="0.2">
      <c r="B1851" s="9"/>
      <c r="C1851" s="9"/>
      <c r="D1851" s="9"/>
      <c r="E1851" s="9"/>
      <c r="F1851" s="9"/>
      <c r="G1851" s="9"/>
      <c r="H1851" s="9"/>
      <c r="I1851" s="9"/>
      <c r="J1851" s="9"/>
      <c r="K1851" s="9"/>
      <c r="L1851" s="9"/>
      <c r="M1851" s="9"/>
      <c r="N1851" s="9"/>
      <c r="O1851" s="9"/>
      <c r="P1851" s="9"/>
    </row>
    <row r="1852" spans="2:16" x14ac:dyDescent="0.2">
      <c r="B1852" s="9"/>
      <c r="C1852" s="9"/>
      <c r="D1852" s="9"/>
      <c r="E1852" s="9"/>
      <c r="F1852" s="9"/>
      <c r="G1852" s="9"/>
      <c r="H1852" s="9"/>
      <c r="I1852" s="9"/>
      <c r="J1852" s="9"/>
      <c r="K1852" s="9"/>
      <c r="L1852" s="9"/>
      <c r="M1852" s="9"/>
      <c r="N1852" s="9"/>
      <c r="O1852" s="9"/>
      <c r="P1852" s="9"/>
    </row>
    <row r="1853" spans="2:16" x14ac:dyDescent="0.2">
      <c r="B1853" s="9"/>
      <c r="C1853" s="9"/>
      <c r="D1853" s="9"/>
      <c r="E1853" s="9"/>
      <c r="F1853" s="9"/>
      <c r="G1853" s="9"/>
      <c r="H1853" s="9"/>
      <c r="I1853" s="9"/>
      <c r="J1853" s="9"/>
      <c r="K1853" s="9"/>
      <c r="L1853" s="9"/>
      <c r="M1853" s="9"/>
      <c r="N1853" s="9"/>
      <c r="O1853" s="9"/>
      <c r="P1853" s="9"/>
    </row>
    <row r="1854" spans="2:16" x14ac:dyDescent="0.2">
      <c r="B1854" s="9"/>
      <c r="C1854" s="9"/>
      <c r="D1854" s="9"/>
      <c r="E1854" s="9"/>
      <c r="F1854" s="9"/>
      <c r="G1854" s="9"/>
      <c r="H1854" s="9"/>
      <c r="I1854" s="9"/>
      <c r="J1854" s="9"/>
      <c r="K1854" s="9"/>
      <c r="L1854" s="9"/>
      <c r="M1854" s="9"/>
      <c r="N1854" s="9"/>
      <c r="O1854" s="9"/>
      <c r="P1854" s="9"/>
    </row>
    <row r="1855" spans="2:16" x14ac:dyDescent="0.2">
      <c r="B1855" s="9"/>
      <c r="C1855" s="9"/>
      <c r="D1855" s="9"/>
      <c r="E1855" s="9"/>
      <c r="F1855" s="9"/>
      <c r="G1855" s="9"/>
      <c r="H1855" s="9"/>
      <c r="I1855" s="9"/>
      <c r="J1855" s="9"/>
      <c r="K1855" s="9"/>
      <c r="L1855" s="9"/>
      <c r="M1855" s="9"/>
      <c r="N1855" s="9"/>
      <c r="O1855" s="9"/>
      <c r="P1855" s="9"/>
    </row>
    <row r="1856" spans="2:16" x14ac:dyDescent="0.2">
      <c r="B1856" s="9"/>
      <c r="C1856" s="9"/>
      <c r="D1856" s="9"/>
      <c r="E1856" s="9"/>
      <c r="F1856" s="9"/>
      <c r="G1856" s="9"/>
      <c r="H1856" s="9"/>
      <c r="I1856" s="9"/>
      <c r="J1856" s="9"/>
      <c r="K1856" s="9"/>
      <c r="L1856" s="9"/>
      <c r="M1856" s="9"/>
      <c r="N1856" s="9"/>
      <c r="O1856" s="9"/>
      <c r="P1856" s="9"/>
    </row>
    <row r="1857" spans="2:16" x14ac:dyDescent="0.2">
      <c r="B1857" s="9"/>
      <c r="C1857" s="9"/>
      <c r="D1857" s="9"/>
      <c r="E1857" s="9"/>
      <c r="F1857" s="9"/>
      <c r="G1857" s="9"/>
      <c r="H1857" s="9"/>
      <c r="I1857" s="9"/>
      <c r="J1857" s="9"/>
      <c r="K1857" s="9"/>
      <c r="L1857" s="9"/>
      <c r="M1857" s="9"/>
      <c r="N1857" s="9"/>
      <c r="O1857" s="9"/>
      <c r="P1857" s="9"/>
    </row>
    <row r="1858" spans="2:16" x14ac:dyDescent="0.2">
      <c r="B1858" s="9"/>
      <c r="C1858" s="9"/>
      <c r="D1858" s="9"/>
      <c r="E1858" s="9"/>
      <c r="F1858" s="9"/>
      <c r="G1858" s="9"/>
      <c r="H1858" s="9"/>
      <c r="I1858" s="9"/>
      <c r="J1858" s="9"/>
      <c r="K1858" s="9"/>
      <c r="L1858" s="9"/>
      <c r="M1858" s="9"/>
      <c r="N1858" s="9"/>
      <c r="O1858" s="9"/>
      <c r="P1858" s="9"/>
    </row>
    <row r="1859" spans="2:16" x14ac:dyDescent="0.2">
      <c r="B1859" s="9"/>
      <c r="C1859" s="9"/>
      <c r="D1859" s="9"/>
      <c r="E1859" s="9"/>
      <c r="F1859" s="9"/>
      <c r="G1859" s="9"/>
      <c r="H1859" s="9"/>
      <c r="I1859" s="9"/>
      <c r="J1859" s="9"/>
      <c r="K1859" s="9"/>
      <c r="L1859" s="9"/>
      <c r="M1859" s="9"/>
      <c r="N1859" s="9"/>
      <c r="O1859" s="9"/>
      <c r="P1859" s="9"/>
    </row>
    <row r="1860" spans="2:16" x14ac:dyDescent="0.2">
      <c r="B1860" s="9"/>
      <c r="C1860" s="9"/>
      <c r="D1860" s="9"/>
      <c r="E1860" s="9"/>
      <c r="F1860" s="9"/>
      <c r="G1860" s="9"/>
      <c r="H1860" s="9"/>
      <c r="I1860" s="9"/>
      <c r="J1860" s="9"/>
      <c r="K1860" s="9"/>
      <c r="L1860" s="9"/>
      <c r="M1860" s="9"/>
      <c r="N1860" s="9"/>
      <c r="O1860" s="9"/>
      <c r="P1860" s="9"/>
    </row>
    <row r="1861" spans="2:16" x14ac:dyDescent="0.2">
      <c r="B1861" s="9"/>
      <c r="C1861" s="9"/>
      <c r="D1861" s="9"/>
      <c r="E1861" s="9"/>
      <c r="F1861" s="9"/>
      <c r="G1861" s="9"/>
      <c r="H1861" s="9"/>
      <c r="I1861" s="9"/>
      <c r="J1861" s="9"/>
      <c r="K1861" s="9"/>
      <c r="L1861" s="9"/>
      <c r="M1861" s="9"/>
      <c r="N1861" s="9"/>
      <c r="O1861" s="9"/>
      <c r="P1861" s="9"/>
    </row>
    <row r="1862" spans="2:16" x14ac:dyDescent="0.2">
      <c r="B1862" s="9"/>
      <c r="C1862" s="9"/>
      <c r="D1862" s="9"/>
      <c r="E1862" s="9"/>
      <c r="F1862" s="9"/>
      <c r="G1862" s="9"/>
      <c r="H1862" s="9"/>
      <c r="I1862" s="9"/>
      <c r="J1862" s="9"/>
      <c r="K1862" s="9"/>
      <c r="L1862" s="9"/>
      <c r="M1862" s="9"/>
      <c r="N1862" s="9"/>
      <c r="O1862" s="9"/>
      <c r="P1862" s="9"/>
    </row>
    <row r="1863" spans="2:16" x14ac:dyDescent="0.2">
      <c r="B1863" s="9"/>
      <c r="C1863" s="9"/>
      <c r="D1863" s="9"/>
      <c r="E1863" s="9"/>
      <c r="F1863" s="9"/>
      <c r="G1863" s="9"/>
      <c r="H1863" s="9"/>
      <c r="I1863" s="9"/>
      <c r="J1863" s="9"/>
      <c r="K1863" s="9"/>
      <c r="L1863" s="9"/>
      <c r="M1863" s="9"/>
      <c r="N1863" s="9"/>
      <c r="O1863" s="9"/>
      <c r="P1863" s="9"/>
    </row>
    <row r="1864" spans="2:16" x14ac:dyDescent="0.2">
      <c r="B1864" s="9"/>
      <c r="C1864" s="9"/>
      <c r="D1864" s="9"/>
      <c r="E1864" s="9"/>
      <c r="F1864" s="9"/>
      <c r="G1864" s="9"/>
      <c r="H1864" s="9"/>
      <c r="I1864" s="9"/>
      <c r="J1864" s="9"/>
      <c r="K1864" s="9"/>
      <c r="L1864" s="9"/>
      <c r="M1864" s="9"/>
      <c r="N1864" s="9"/>
      <c r="O1864" s="9"/>
      <c r="P1864" s="9"/>
    </row>
    <row r="1865" spans="2:16" x14ac:dyDescent="0.2">
      <c r="B1865" s="9"/>
      <c r="C1865" s="9"/>
      <c r="D1865" s="9"/>
      <c r="E1865" s="9"/>
      <c r="F1865" s="9"/>
      <c r="G1865" s="9"/>
      <c r="H1865" s="9"/>
      <c r="I1865" s="9"/>
      <c r="J1865" s="9"/>
      <c r="K1865" s="9"/>
      <c r="L1865" s="9"/>
      <c r="M1865" s="9"/>
      <c r="N1865" s="9"/>
      <c r="O1865" s="9"/>
      <c r="P1865" s="9"/>
    </row>
    <row r="1866" spans="2:16" x14ac:dyDescent="0.2">
      <c r="B1866" s="9"/>
      <c r="C1866" s="9"/>
      <c r="D1866" s="9"/>
      <c r="E1866" s="9"/>
      <c r="F1866" s="9"/>
      <c r="G1866" s="9"/>
      <c r="H1866" s="9"/>
      <c r="I1866" s="9"/>
      <c r="J1866" s="9"/>
      <c r="K1866" s="9"/>
      <c r="L1866" s="9"/>
      <c r="M1866" s="9"/>
      <c r="N1866" s="9"/>
      <c r="O1866" s="9"/>
      <c r="P1866" s="9"/>
    </row>
    <row r="1867" spans="2:16" x14ac:dyDescent="0.2">
      <c r="B1867" s="9"/>
      <c r="C1867" s="9"/>
      <c r="D1867" s="9"/>
      <c r="E1867" s="9"/>
      <c r="F1867" s="9"/>
      <c r="G1867" s="9"/>
      <c r="H1867" s="9"/>
      <c r="I1867" s="9"/>
      <c r="J1867" s="9"/>
      <c r="K1867" s="9"/>
      <c r="L1867" s="9"/>
      <c r="M1867" s="9"/>
      <c r="N1867" s="9"/>
      <c r="O1867" s="9"/>
      <c r="P1867" s="9"/>
    </row>
    <row r="1868" spans="2:16" x14ac:dyDescent="0.2">
      <c r="B1868" s="9"/>
      <c r="C1868" s="9"/>
      <c r="D1868" s="9"/>
      <c r="E1868" s="9"/>
      <c r="F1868" s="9"/>
      <c r="G1868" s="9"/>
      <c r="H1868" s="9"/>
      <c r="I1868" s="9"/>
      <c r="J1868" s="9"/>
      <c r="K1868" s="9"/>
      <c r="L1868" s="9"/>
      <c r="M1868" s="9"/>
      <c r="N1868" s="9"/>
      <c r="O1868" s="9"/>
      <c r="P1868" s="9"/>
    </row>
    <row r="1869" spans="2:16" x14ac:dyDescent="0.2">
      <c r="B1869" s="9"/>
      <c r="C1869" s="9"/>
      <c r="D1869" s="9"/>
      <c r="E1869" s="9"/>
      <c r="F1869" s="9"/>
      <c r="G1869" s="9"/>
      <c r="H1869" s="9"/>
      <c r="I1869" s="9"/>
      <c r="J1869" s="9"/>
      <c r="K1869" s="9"/>
      <c r="L1869" s="9"/>
      <c r="M1869" s="9"/>
      <c r="N1869" s="9"/>
      <c r="O1869" s="9"/>
      <c r="P1869" s="9"/>
    </row>
    <row r="1870" spans="2:16" x14ac:dyDescent="0.2">
      <c r="B1870" s="9"/>
      <c r="C1870" s="9"/>
      <c r="D1870" s="9"/>
      <c r="E1870" s="9"/>
      <c r="F1870" s="9"/>
      <c r="G1870" s="9"/>
      <c r="H1870" s="9"/>
      <c r="I1870" s="9"/>
      <c r="J1870" s="9"/>
      <c r="K1870" s="9"/>
      <c r="L1870" s="9"/>
      <c r="M1870" s="9"/>
      <c r="N1870" s="9"/>
      <c r="O1870" s="9"/>
      <c r="P1870" s="9"/>
    </row>
    <row r="1871" spans="2:16" x14ac:dyDescent="0.2">
      <c r="B1871" s="9"/>
      <c r="C1871" s="9"/>
      <c r="D1871" s="9"/>
      <c r="E1871" s="9"/>
      <c r="F1871" s="9"/>
      <c r="G1871" s="9"/>
      <c r="H1871" s="9"/>
      <c r="I1871" s="9"/>
      <c r="J1871" s="9"/>
      <c r="K1871" s="9"/>
      <c r="L1871" s="9"/>
      <c r="M1871" s="9"/>
      <c r="N1871" s="9"/>
      <c r="O1871" s="9"/>
      <c r="P1871" s="9"/>
    </row>
    <row r="1872" spans="2:16" x14ac:dyDescent="0.2">
      <c r="B1872" s="9"/>
      <c r="C1872" s="9"/>
      <c r="D1872" s="9"/>
      <c r="E1872" s="9"/>
      <c r="F1872" s="9"/>
      <c r="G1872" s="9"/>
      <c r="H1872" s="9"/>
      <c r="I1872" s="9"/>
      <c r="J1872" s="9"/>
      <c r="K1872" s="9"/>
      <c r="L1872" s="9"/>
      <c r="M1872" s="9"/>
      <c r="N1872" s="9"/>
      <c r="O1872" s="9"/>
      <c r="P1872" s="9"/>
    </row>
    <row r="1873" spans="2:16" x14ac:dyDescent="0.2">
      <c r="B1873" s="9"/>
      <c r="C1873" s="9"/>
      <c r="D1873" s="9"/>
      <c r="E1873" s="9"/>
      <c r="F1873" s="9"/>
      <c r="G1873" s="9"/>
      <c r="H1873" s="9"/>
      <c r="I1873" s="9"/>
      <c r="J1873" s="9"/>
      <c r="K1873" s="9"/>
      <c r="L1873" s="9"/>
      <c r="M1873" s="9"/>
      <c r="N1873" s="9"/>
      <c r="O1873" s="9"/>
      <c r="P1873" s="9"/>
    </row>
    <row r="1874" spans="2:16" x14ac:dyDescent="0.2">
      <c r="B1874" s="9"/>
      <c r="C1874" s="9"/>
      <c r="D1874" s="9"/>
      <c r="E1874" s="9"/>
      <c r="F1874" s="9"/>
      <c r="G1874" s="9"/>
      <c r="H1874" s="9"/>
      <c r="I1874" s="9"/>
      <c r="J1874" s="9"/>
      <c r="K1874" s="9"/>
      <c r="L1874" s="9"/>
      <c r="M1874" s="9"/>
      <c r="N1874" s="9"/>
      <c r="O1874" s="9"/>
      <c r="P1874" s="9"/>
    </row>
    <row r="1875" spans="2:16" x14ac:dyDescent="0.2">
      <c r="B1875" s="9"/>
      <c r="C1875" s="9"/>
      <c r="D1875" s="9"/>
      <c r="E1875" s="9"/>
      <c r="F1875" s="9"/>
      <c r="G1875" s="9"/>
      <c r="H1875" s="9"/>
      <c r="I1875" s="9"/>
      <c r="J1875" s="9"/>
      <c r="K1875" s="9"/>
      <c r="L1875" s="9"/>
      <c r="M1875" s="9"/>
      <c r="N1875" s="9"/>
      <c r="O1875" s="9"/>
      <c r="P1875" s="9"/>
    </row>
    <row r="1876" spans="2:16" x14ac:dyDescent="0.2">
      <c r="B1876" s="9"/>
      <c r="C1876" s="9"/>
      <c r="D1876" s="9"/>
      <c r="E1876" s="9"/>
      <c r="F1876" s="9"/>
      <c r="G1876" s="9"/>
      <c r="H1876" s="9"/>
      <c r="I1876" s="9"/>
      <c r="J1876" s="9"/>
      <c r="K1876" s="9"/>
      <c r="L1876" s="9"/>
      <c r="M1876" s="9"/>
      <c r="N1876" s="9"/>
      <c r="O1876" s="9"/>
      <c r="P1876" s="9"/>
    </row>
    <row r="1877" spans="2:16" x14ac:dyDescent="0.2">
      <c r="B1877" s="9"/>
      <c r="C1877" s="9"/>
      <c r="D1877" s="9"/>
      <c r="E1877" s="9"/>
      <c r="F1877" s="9"/>
      <c r="G1877" s="9"/>
      <c r="H1877" s="9"/>
      <c r="I1877" s="9"/>
      <c r="J1877" s="9"/>
      <c r="K1877" s="9"/>
      <c r="L1877" s="9"/>
      <c r="M1877" s="9"/>
      <c r="N1877" s="9"/>
      <c r="O1877" s="9"/>
      <c r="P1877" s="9"/>
    </row>
    <row r="1878" spans="2:16" x14ac:dyDescent="0.2">
      <c r="B1878" s="9"/>
      <c r="C1878" s="9"/>
      <c r="D1878" s="9"/>
      <c r="E1878" s="9"/>
      <c r="F1878" s="9"/>
      <c r="G1878" s="9"/>
      <c r="H1878" s="9"/>
      <c r="I1878" s="9"/>
      <c r="J1878" s="9"/>
      <c r="K1878" s="9"/>
      <c r="L1878" s="9"/>
      <c r="M1878" s="9"/>
      <c r="N1878" s="9"/>
      <c r="O1878" s="9"/>
      <c r="P1878" s="9"/>
    </row>
    <row r="1879" spans="2:16" x14ac:dyDescent="0.2">
      <c r="B1879" s="9"/>
      <c r="C1879" s="9"/>
      <c r="D1879" s="9"/>
      <c r="E1879" s="9"/>
      <c r="F1879" s="9"/>
      <c r="G1879" s="9"/>
      <c r="H1879" s="9"/>
      <c r="I1879" s="9"/>
      <c r="J1879" s="9"/>
      <c r="K1879" s="9"/>
      <c r="L1879" s="9"/>
      <c r="M1879" s="9"/>
      <c r="N1879" s="9"/>
      <c r="O1879" s="9"/>
      <c r="P1879" s="9"/>
    </row>
    <row r="1880" spans="2:16" x14ac:dyDescent="0.2">
      <c r="B1880" s="9"/>
      <c r="C1880" s="9"/>
      <c r="D1880" s="9"/>
      <c r="E1880" s="9"/>
      <c r="F1880" s="9"/>
      <c r="G1880" s="9"/>
      <c r="H1880" s="9"/>
      <c r="I1880" s="9"/>
      <c r="J1880" s="9"/>
      <c r="K1880" s="9"/>
      <c r="L1880" s="9"/>
      <c r="M1880" s="9"/>
      <c r="N1880" s="9"/>
      <c r="O1880" s="9"/>
      <c r="P1880" s="9"/>
    </row>
    <row r="1881" spans="2:16" x14ac:dyDescent="0.2">
      <c r="B1881" s="9"/>
      <c r="C1881" s="9"/>
      <c r="D1881" s="9"/>
      <c r="E1881" s="9"/>
      <c r="F1881" s="9"/>
      <c r="G1881" s="9"/>
      <c r="H1881" s="9"/>
      <c r="I1881" s="9"/>
      <c r="J1881" s="9"/>
      <c r="K1881" s="9"/>
      <c r="L1881" s="9"/>
      <c r="M1881" s="9"/>
      <c r="N1881" s="9"/>
      <c r="O1881" s="9"/>
      <c r="P1881" s="9"/>
    </row>
    <row r="1882" spans="2:16" x14ac:dyDescent="0.2">
      <c r="B1882" s="9"/>
      <c r="C1882" s="9"/>
      <c r="D1882" s="9"/>
      <c r="E1882" s="9"/>
      <c r="F1882" s="9"/>
      <c r="G1882" s="9"/>
      <c r="H1882" s="9"/>
      <c r="I1882" s="9"/>
      <c r="J1882" s="9"/>
      <c r="K1882" s="9"/>
      <c r="L1882" s="9"/>
      <c r="M1882" s="9"/>
      <c r="N1882" s="9"/>
      <c r="O1882" s="9"/>
      <c r="P1882" s="9"/>
    </row>
    <row r="1883" spans="2:16" x14ac:dyDescent="0.2">
      <c r="B1883" s="9"/>
      <c r="C1883" s="9"/>
      <c r="D1883" s="9"/>
      <c r="E1883" s="9"/>
      <c r="F1883" s="9"/>
      <c r="G1883" s="9"/>
      <c r="H1883" s="9"/>
      <c r="I1883" s="9"/>
      <c r="J1883" s="9"/>
      <c r="K1883" s="9"/>
      <c r="L1883" s="9"/>
      <c r="M1883" s="9"/>
      <c r="N1883" s="9"/>
      <c r="O1883" s="9"/>
      <c r="P1883" s="9"/>
    </row>
    <row r="1884" spans="2:16" x14ac:dyDescent="0.2">
      <c r="B1884" s="9"/>
      <c r="C1884" s="9"/>
      <c r="D1884" s="9"/>
      <c r="E1884" s="9"/>
      <c r="F1884" s="9"/>
      <c r="G1884" s="9"/>
      <c r="H1884" s="9"/>
      <c r="I1884" s="9"/>
      <c r="J1884" s="9"/>
      <c r="K1884" s="9"/>
      <c r="L1884" s="9"/>
      <c r="M1884" s="9"/>
      <c r="N1884" s="9"/>
      <c r="O1884" s="9"/>
      <c r="P1884" s="9"/>
    </row>
    <row r="1885" spans="2:16" x14ac:dyDescent="0.2">
      <c r="B1885" s="9"/>
      <c r="C1885" s="9"/>
      <c r="D1885" s="9"/>
      <c r="E1885" s="9"/>
      <c r="F1885" s="9"/>
      <c r="G1885" s="9"/>
      <c r="H1885" s="9"/>
      <c r="I1885" s="9"/>
      <c r="J1885" s="9"/>
      <c r="K1885" s="9"/>
      <c r="L1885" s="9"/>
      <c r="M1885" s="9"/>
      <c r="N1885" s="9"/>
      <c r="O1885" s="9"/>
      <c r="P1885" s="9"/>
    </row>
    <row r="1886" spans="2:16" x14ac:dyDescent="0.2">
      <c r="B1886" s="9"/>
      <c r="C1886" s="9"/>
      <c r="D1886" s="9"/>
      <c r="E1886" s="9"/>
      <c r="F1886" s="9"/>
      <c r="G1886" s="9"/>
      <c r="H1886" s="9"/>
      <c r="I1886" s="9"/>
      <c r="J1886" s="9"/>
      <c r="K1886" s="9"/>
      <c r="L1886" s="9"/>
      <c r="M1886" s="9"/>
      <c r="N1886" s="9"/>
      <c r="O1886" s="9"/>
      <c r="P1886" s="9"/>
    </row>
    <row r="1887" spans="2:16" x14ac:dyDescent="0.2">
      <c r="B1887" s="9"/>
      <c r="C1887" s="9"/>
      <c r="D1887" s="9"/>
      <c r="E1887" s="9"/>
      <c r="F1887" s="9"/>
      <c r="G1887" s="9"/>
      <c r="H1887" s="9"/>
      <c r="I1887" s="9"/>
      <c r="J1887" s="9"/>
      <c r="K1887" s="9"/>
      <c r="L1887" s="9"/>
      <c r="M1887" s="9"/>
      <c r="N1887" s="9"/>
      <c r="O1887" s="9"/>
      <c r="P1887" s="9"/>
    </row>
    <row r="1888" spans="2:16" x14ac:dyDescent="0.2">
      <c r="B1888" s="9"/>
      <c r="C1888" s="9"/>
      <c r="D1888" s="9"/>
      <c r="E1888" s="9"/>
      <c r="F1888" s="9"/>
      <c r="G1888" s="9"/>
      <c r="H1888" s="9"/>
      <c r="I1888" s="9"/>
      <c r="J1888" s="9"/>
      <c r="K1888" s="9"/>
      <c r="L1888" s="9"/>
      <c r="M1888" s="9"/>
      <c r="N1888" s="9"/>
      <c r="O1888" s="9"/>
      <c r="P1888" s="9"/>
    </row>
    <row r="1889" spans="2:16" x14ac:dyDescent="0.2">
      <c r="B1889" s="9"/>
      <c r="C1889" s="9"/>
      <c r="D1889" s="9"/>
      <c r="E1889" s="9"/>
      <c r="F1889" s="9"/>
      <c r="G1889" s="9"/>
      <c r="H1889" s="9"/>
      <c r="I1889" s="9"/>
      <c r="J1889" s="9"/>
      <c r="K1889" s="9"/>
      <c r="L1889" s="9"/>
      <c r="M1889" s="9"/>
      <c r="N1889" s="9"/>
      <c r="O1889" s="9"/>
      <c r="P1889" s="9"/>
    </row>
    <row r="1890" spans="2:16" x14ac:dyDescent="0.2">
      <c r="B1890" s="9"/>
      <c r="C1890" s="9"/>
      <c r="D1890" s="9"/>
      <c r="E1890" s="9"/>
      <c r="F1890" s="9"/>
      <c r="G1890" s="9"/>
      <c r="H1890" s="9"/>
      <c r="I1890" s="9"/>
      <c r="J1890" s="9"/>
      <c r="K1890" s="9"/>
      <c r="L1890" s="9"/>
      <c r="M1890" s="9"/>
      <c r="N1890" s="9"/>
      <c r="O1890" s="9"/>
      <c r="P1890" s="9"/>
    </row>
    <row r="1891" spans="2:16" x14ac:dyDescent="0.2">
      <c r="B1891" s="9"/>
      <c r="C1891" s="9"/>
      <c r="D1891" s="9"/>
      <c r="E1891" s="9"/>
      <c r="F1891" s="9"/>
      <c r="G1891" s="9"/>
      <c r="H1891" s="9"/>
      <c r="I1891" s="9"/>
      <c r="J1891" s="9"/>
      <c r="K1891" s="9"/>
      <c r="L1891" s="9"/>
      <c r="M1891" s="9"/>
      <c r="N1891" s="9"/>
      <c r="O1891" s="9"/>
      <c r="P1891" s="9"/>
    </row>
    <row r="1892" spans="2:16" x14ac:dyDescent="0.2">
      <c r="B1892" s="9"/>
      <c r="C1892" s="9"/>
      <c r="D1892" s="9"/>
      <c r="E1892" s="9"/>
      <c r="F1892" s="9"/>
      <c r="G1892" s="9"/>
      <c r="H1892" s="9"/>
      <c r="I1892" s="9"/>
      <c r="J1892" s="9"/>
      <c r="K1892" s="9"/>
      <c r="L1892" s="9"/>
      <c r="M1892" s="9"/>
      <c r="N1892" s="9"/>
      <c r="O1892" s="9"/>
      <c r="P1892" s="9"/>
    </row>
    <row r="1893" spans="2:16" x14ac:dyDescent="0.2">
      <c r="B1893" s="9"/>
      <c r="C1893" s="9"/>
      <c r="D1893" s="9"/>
      <c r="E1893" s="9"/>
      <c r="F1893" s="9"/>
      <c r="G1893" s="9"/>
      <c r="H1893" s="9"/>
      <c r="I1893" s="9"/>
      <c r="J1893" s="9"/>
      <c r="K1893" s="9"/>
      <c r="L1893" s="9"/>
      <c r="M1893" s="9"/>
      <c r="N1893" s="9"/>
      <c r="O1893" s="9"/>
      <c r="P1893" s="9"/>
    </row>
    <row r="1894" spans="2:16" x14ac:dyDescent="0.2">
      <c r="B1894" s="9"/>
      <c r="C1894" s="9"/>
      <c r="D1894" s="9"/>
      <c r="E1894" s="9"/>
      <c r="F1894" s="9"/>
      <c r="G1894" s="9"/>
      <c r="H1894" s="9"/>
      <c r="I1894" s="9"/>
      <c r="J1894" s="9"/>
      <c r="K1894" s="9"/>
      <c r="L1894" s="9"/>
      <c r="M1894" s="9"/>
      <c r="N1894" s="9"/>
      <c r="O1894" s="9"/>
      <c r="P1894" s="9"/>
    </row>
    <row r="1895" spans="2:16" x14ac:dyDescent="0.2">
      <c r="B1895" s="9"/>
      <c r="C1895" s="9"/>
      <c r="D1895" s="9"/>
      <c r="E1895" s="9"/>
      <c r="F1895" s="9"/>
      <c r="G1895" s="9"/>
      <c r="H1895" s="9"/>
      <c r="I1895" s="9"/>
      <c r="J1895" s="9"/>
      <c r="K1895" s="9"/>
      <c r="L1895" s="9"/>
      <c r="M1895" s="9"/>
      <c r="N1895" s="9"/>
      <c r="O1895" s="9"/>
      <c r="P1895" s="9"/>
    </row>
    <row r="1896" spans="2:16" x14ac:dyDescent="0.2">
      <c r="B1896" s="9"/>
      <c r="C1896" s="9"/>
      <c r="D1896" s="9"/>
      <c r="E1896" s="9"/>
      <c r="F1896" s="9"/>
      <c r="G1896" s="9"/>
      <c r="H1896" s="9"/>
      <c r="I1896" s="9"/>
      <c r="J1896" s="9"/>
      <c r="K1896" s="9"/>
      <c r="L1896" s="9"/>
      <c r="M1896" s="9"/>
      <c r="N1896" s="9"/>
      <c r="O1896" s="9"/>
      <c r="P1896" s="9"/>
    </row>
    <row r="1897" spans="2:16" x14ac:dyDescent="0.2">
      <c r="B1897" s="9"/>
      <c r="C1897" s="9"/>
      <c r="D1897" s="9"/>
      <c r="E1897" s="9"/>
      <c r="F1897" s="9"/>
      <c r="G1897" s="9"/>
      <c r="H1897" s="9"/>
      <c r="I1897" s="9"/>
      <c r="J1897" s="9"/>
      <c r="K1897" s="9"/>
      <c r="L1897" s="9"/>
      <c r="M1897" s="9"/>
      <c r="N1897" s="9"/>
      <c r="O1897" s="9"/>
      <c r="P1897" s="9"/>
    </row>
    <row r="1898" spans="2:16" x14ac:dyDescent="0.2">
      <c r="B1898" s="9"/>
      <c r="C1898" s="9"/>
      <c r="D1898" s="9"/>
      <c r="E1898" s="9"/>
      <c r="F1898" s="9"/>
      <c r="G1898" s="9"/>
      <c r="H1898" s="9"/>
      <c r="I1898" s="9"/>
      <c r="J1898" s="9"/>
      <c r="K1898" s="9"/>
      <c r="L1898" s="9"/>
      <c r="M1898" s="9"/>
      <c r="N1898" s="9"/>
      <c r="O1898" s="9"/>
      <c r="P1898" s="9"/>
    </row>
    <row r="1899" spans="2:16" x14ac:dyDescent="0.2">
      <c r="B1899" s="9"/>
      <c r="C1899" s="9"/>
      <c r="D1899" s="9"/>
      <c r="E1899" s="9"/>
      <c r="F1899" s="9"/>
      <c r="G1899" s="9"/>
      <c r="H1899" s="9"/>
      <c r="I1899" s="9"/>
      <c r="J1899" s="9"/>
      <c r="K1899" s="9"/>
      <c r="L1899" s="9"/>
      <c r="M1899" s="9"/>
      <c r="N1899" s="9"/>
      <c r="O1899" s="9"/>
      <c r="P1899" s="9"/>
    </row>
    <row r="1900" spans="2:16" x14ac:dyDescent="0.2">
      <c r="B1900" s="9"/>
      <c r="C1900" s="9"/>
      <c r="D1900" s="9"/>
      <c r="E1900" s="9"/>
      <c r="F1900" s="9"/>
      <c r="G1900" s="9"/>
      <c r="H1900" s="9"/>
      <c r="I1900" s="9"/>
      <c r="J1900" s="9"/>
      <c r="K1900" s="9"/>
      <c r="L1900" s="9"/>
      <c r="M1900" s="9"/>
      <c r="N1900" s="9"/>
      <c r="O1900" s="9"/>
      <c r="P1900" s="9"/>
    </row>
    <row r="1901" spans="2:16" x14ac:dyDescent="0.2">
      <c r="B1901" s="9"/>
      <c r="C1901" s="9"/>
      <c r="D1901" s="9"/>
      <c r="E1901" s="9"/>
      <c r="F1901" s="9"/>
      <c r="G1901" s="9"/>
      <c r="H1901" s="9"/>
      <c r="I1901" s="9"/>
      <c r="J1901" s="9"/>
      <c r="K1901" s="9"/>
      <c r="L1901" s="9"/>
      <c r="M1901" s="9"/>
      <c r="N1901" s="9"/>
      <c r="O1901" s="9"/>
      <c r="P1901" s="9"/>
    </row>
    <row r="1902" spans="2:16" x14ac:dyDescent="0.2">
      <c r="B1902" s="9"/>
      <c r="C1902" s="9"/>
      <c r="D1902" s="9"/>
      <c r="E1902" s="9"/>
      <c r="F1902" s="9"/>
      <c r="G1902" s="9"/>
      <c r="H1902" s="9"/>
      <c r="I1902" s="9"/>
      <c r="J1902" s="9"/>
      <c r="K1902" s="9"/>
      <c r="L1902" s="9"/>
      <c r="M1902" s="9"/>
      <c r="N1902" s="9"/>
      <c r="O1902" s="9"/>
      <c r="P1902" s="9"/>
    </row>
    <row r="1903" spans="2:16" x14ac:dyDescent="0.2">
      <c r="B1903" s="9"/>
      <c r="C1903" s="9"/>
      <c r="D1903" s="9"/>
      <c r="E1903" s="9"/>
      <c r="F1903" s="9"/>
      <c r="G1903" s="9"/>
      <c r="H1903" s="9"/>
      <c r="I1903" s="9"/>
      <c r="J1903" s="9"/>
      <c r="K1903" s="9"/>
      <c r="L1903" s="9"/>
      <c r="M1903" s="9"/>
      <c r="N1903" s="9"/>
      <c r="O1903" s="9"/>
      <c r="P1903" s="9"/>
    </row>
    <row r="1904" spans="2:16" x14ac:dyDescent="0.2">
      <c r="B1904" s="9"/>
      <c r="C1904" s="9"/>
      <c r="D1904" s="9"/>
      <c r="E1904" s="9"/>
      <c r="F1904" s="9"/>
      <c r="G1904" s="9"/>
      <c r="H1904" s="9"/>
      <c r="I1904" s="9"/>
      <c r="J1904" s="9"/>
      <c r="K1904" s="9"/>
      <c r="L1904" s="9"/>
      <c r="M1904" s="9"/>
      <c r="N1904" s="9"/>
      <c r="O1904" s="9"/>
      <c r="P1904" s="9"/>
    </row>
    <row r="1905" spans="2:16" x14ac:dyDescent="0.2">
      <c r="B1905" s="9"/>
      <c r="C1905" s="9"/>
      <c r="D1905" s="9"/>
      <c r="E1905" s="9"/>
      <c r="F1905" s="9"/>
      <c r="G1905" s="9"/>
      <c r="H1905" s="9"/>
      <c r="I1905" s="9"/>
      <c r="J1905" s="9"/>
      <c r="K1905" s="9"/>
      <c r="L1905" s="9"/>
      <c r="M1905" s="9"/>
      <c r="N1905" s="9"/>
      <c r="O1905" s="9"/>
      <c r="P1905" s="9"/>
    </row>
    <row r="1906" spans="2:16" x14ac:dyDescent="0.2">
      <c r="B1906" s="9"/>
      <c r="C1906" s="9"/>
      <c r="D1906" s="9"/>
      <c r="E1906" s="9"/>
      <c r="F1906" s="9"/>
      <c r="G1906" s="9"/>
      <c r="H1906" s="9"/>
      <c r="I1906" s="9"/>
      <c r="J1906" s="9"/>
      <c r="K1906" s="9"/>
      <c r="L1906" s="9"/>
      <c r="M1906" s="9"/>
      <c r="N1906" s="9"/>
      <c r="O1906" s="9"/>
      <c r="P1906" s="9"/>
    </row>
    <row r="1907" spans="2:16" x14ac:dyDescent="0.2">
      <c r="B1907" s="9"/>
      <c r="C1907" s="9"/>
      <c r="D1907" s="9"/>
      <c r="E1907" s="9"/>
      <c r="F1907" s="9"/>
      <c r="G1907" s="9"/>
      <c r="H1907" s="9"/>
      <c r="I1907" s="9"/>
      <c r="J1907" s="9"/>
      <c r="K1907" s="9"/>
      <c r="L1907" s="9"/>
      <c r="M1907" s="9"/>
      <c r="N1907" s="9"/>
      <c r="O1907" s="9"/>
      <c r="P1907" s="9"/>
    </row>
    <row r="1908" spans="2:16" x14ac:dyDescent="0.2">
      <c r="B1908" s="9"/>
      <c r="C1908" s="9"/>
      <c r="D1908" s="9"/>
      <c r="E1908" s="9"/>
      <c r="F1908" s="9"/>
      <c r="G1908" s="9"/>
      <c r="H1908" s="9"/>
      <c r="I1908" s="9"/>
      <c r="J1908" s="9"/>
      <c r="K1908" s="9"/>
      <c r="L1908" s="9"/>
      <c r="M1908" s="9"/>
      <c r="N1908" s="9"/>
      <c r="O1908" s="9"/>
      <c r="P1908" s="9"/>
    </row>
    <row r="1909" spans="2:16" x14ac:dyDescent="0.2">
      <c r="B1909" s="9"/>
      <c r="C1909" s="9"/>
      <c r="D1909" s="9"/>
      <c r="E1909" s="9"/>
      <c r="F1909" s="9"/>
      <c r="G1909" s="9"/>
      <c r="H1909" s="9"/>
      <c r="I1909" s="9"/>
      <c r="J1909" s="9"/>
      <c r="K1909" s="9"/>
      <c r="L1909" s="9"/>
      <c r="M1909" s="9"/>
      <c r="N1909" s="9"/>
      <c r="O1909" s="9"/>
      <c r="P1909" s="9"/>
    </row>
    <row r="1910" spans="2:16" x14ac:dyDescent="0.2">
      <c r="B1910" s="9"/>
      <c r="C1910" s="9"/>
      <c r="D1910" s="9"/>
      <c r="E1910" s="9"/>
      <c r="F1910" s="9"/>
      <c r="G1910" s="9"/>
      <c r="H1910" s="9"/>
      <c r="I1910" s="9"/>
      <c r="J1910" s="9"/>
      <c r="K1910" s="9"/>
      <c r="L1910" s="9"/>
      <c r="M1910" s="9"/>
      <c r="N1910" s="9"/>
      <c r="O1910" s="9"/>
      <c r="P1910" s="9"/>
    </row>
    <row r="1911" spans="2:16" x14ac:dyDescent="0.2">
      <c r="B1911" s="9"/>
      <c r="C1911" s="9"/>
      <c r="D1911" s="9"/>
      <c r="E1911" s="9"/>
      <c r="F1911" s="9"/>
      <c r="G1911" s="9"/>
      <c r="H1911" s="9"/>
      <c r="I1911" s="9"/>
      <c r="J1911" s="9"/>
      <c r="K1911" s="9"/>
      <c r="L1911" s="9"/>
      <c r="M1911" s="9"/>
      <c r="N1911" s="9"/>
      <c r="O1911" s="9"/>
      <c r="P1911" s="9"/>
    </row>
    <row r="1912" spans="2:16" x14ac:dyDescent="0.2">
      <c r="B1912" s="9"/>
      <c r="C1912" s="9"/>
      <c r="D1912" s="9"/>
      <c r="E1912" s="9"/>
      <c r="F1912" s="9"/>
      <c r="G1912" s="9"/>
      <c r="H1912" s="9"/>
      <c r="I1912" s="9"/>
      <c r="J1912" s="9"/>
      <c r="K1912" s="9"/>
      <c r="L1912" s="9"/>
      <c r="M1912" s="9"/>
      <c r="N1912" s="9"/>
      <c r="O1912" s="9"/>
      <c r="P1912" s="9"/>
    </row>
    <row r="1913" spans="2:16" x14ac:dyDescent="0.2">
      <c r="B1913" s="9"/>
      <c r="C1913" s="9"/>
      <c r="D1913" s="9"/>
      <c r="E1913" s="9"/>
      <c r="F1913" s="9"/>
      <c r="G1913" s="9"/>
      <c r="H1913" s="9"/>
      <c r="I1913" s="9"/>
      <c r="J1913" s="9"/>
      <c r="K1913" s="9"/>
      <c r="L1913" s="9"/>
      <c r="M1913" s="9"/>
      <c r="N1913" s="9"/>
      <c r="O1913" s="9"/>
      <c r="P1913" s="9"/>
    </row>
    <row r="1914" spans="2:16" x14ac:dyDescent="0.2">
      <c r="B1914" s="9"/>
      <c r="C1914" s="9"/>
      <c r="D1914" s="9"/>
      <c r="E1914" s="9"/>
      <c r="F1914" s="9"/>
      <c r="G1914" s="9"/>
      <c r="H1914" s="9"/>
      <c r="I1914" s="9"/>
      <c r="J1914" s="9"/>
      <c r="K1914" s="9"/>
      <c r="L1914" s="9"/>
      <c r="M1914" s="9"/>
      <c r="N1914" s="9"/>
      <c r="O1914" s="9"/>
      <c r="P1914" s="9"/>
    </row>
    <row r="1915" spans="2:16" x14ac:dyDescent="0.2">
      <c r="B1915" s="9"/>
      <c r="C1915" s="9"/>
      <c r="D1915" s="9"/>
      <c r="E1915" s="9"/>
      <c r="F1915" s="9"/>
      <c r="G1915" s="9"/>
      <c r="H1915" s="9"/>
      <c r="I1915" s="9"/>
      <c r="J1915" s="9"/>
      <c r="K1915" s="9"/>
      <c r="L1915" s="9"/>
      <c r="M1915" s="9"/>
      <c r="N1915" s="9"/>
      <c r="O1915" s="9"/>
      <c r="P1915" s="9"/>
    </row>
    <row r="1916" spans="2:16" x14ac:dyDescent="0.2">
      <c r="B1916" s="9"/>
      <c r="C1916" s="9"/>
      <c r="D1916" s="9"/>
      <c r="E1916" s="9"/>
      <c r="F1916" s="9"/>
      <c r="G1916" s="9"/>
      <c r="H1916" s="9"/>
      <c r="I1916" s="9"/>
      <c r="J1916" s="9"/>
      <c r="K1916" s="9"/>
      <c r="L1916" s="9"/>
      <c r="M1916" s="9"/>
      <c r="N1916" s="9"/>
      <c r="O1916" s="9"/>
      <c r="P1916" s="9"/>
    </row>
    <row r="1917" spans="2:16" x14ac:dyDescent="0.2">
      <c r="B1917" s="9"/>
      <c r="C1917" s="9"/>
      <c r="D1917" s="9"/>
      <c r="E1917" s="9"/>
      <c r="F1917" s="9"/>
      <c r="G1917" s="9"/>
      <c r="H1917" s="9"/>
      <c r="I1917" s="9"/>
      <c r="J1917" s="9"/>
      <c r="K1917" s="9"/>
      <c r="L1917" s="9"/>
      <c r="M1917" s="9"/>
      <c r="N1917" s="9"/>
      <c r="O1917" s="9"/>
      <c r="P1917" s="9"/>
    </row>
    <row r="1918" spans="2:16" x14ac:dyDescent="0.2">
      <c r="B1918" s="9"/>
      <c r="C1918" s="9"/>
      <c r="D1918" s="9"/>
      <c r="E1918" s="9"/>
      <c r="F1918" s="9"/>
      <c r="G1918" s="9"/>
      <c r="H1918" s="9"/>
      <c r="I1918" s="9"/>
      <c r="J1918" s="9"/>
      <c r="K1918" s="9"/>
      <c r="L1918" s="9"/>
      <c r="M1918" s="9"/>
      <c r="N1918" s="9"/>
      <c r="O1918" s="9"/>
      <c r="P1918" s="9"/>
    </row>
    <row r="1919" spans="2:16" x14ac:dyDescent="0.2">
      <c r="B1919" s="9"/>
      <c r="C1919" s="9"/>
      <c r="D1919" s="9"/>
      <c r="E1919" s="9"/>
      <c r="F1919" s="9"/>
      <c r="G1919" s="9"/>
      <c r="H1919" s="9"/>
      <c r="I1919" s="9"/>
      <c r="J1919" s="9"/>
      <c r="K1919" s="9"/>
      <c r="L1919" s="9"/>
      <c r="M1919" s="9"/>
      <c r="N1919" s="9"/>
      <c r="O1919" s="9"/>
      <c r="P1919" s="9"/>
    </row>
    <row r="1920" spans="2:16" x14ac:dyDescent="0.2">
      <c r="B1920" s="9"/>
      <c r="C1920" s="9"/>
      <c r="D1920" s="9"/>
      <c r="E1920" s="9"/>
      <c r="F1920" s="9"/>
      <c r="G1920" s="9"/>
      <c r="H1920" s="9"/>
      <c r="I1920" s="9"/>
      <c r="J1920" s="9"/>
      <c r="K1920" s="9"/>
      <c r="L1920" s="9"/>
      <c r="M1920" s="9"/>
      <c r="N1920" s="9"/>
      <c r="O1920" s="9"/>
      <c r="P1920" s="9"/>
    </row>
    <row r="1921" spans="2:16" x14ac:dyDescent="0.2">
      <c r="B1921" s="9"/>
      <c r="C1921" s="9"/>
      <c r="D1921" s="9"/>
      <c r="E1921" s="9"/>
      <c r="F1921" s="9"/>
      <c r="G1921" s="9"/>
      <c r="H1921" s="9"/>
      <c r="I1921" s="9"/>
      <c r="J1921" s="9"/>
      <c r="K1921" s="9"/>
      <c r="L1921" s="9"/>
      <c r="M1921" s="9"/>
      <c r="N1921" s="9"/>
      <c r="O1921" s="9"/>
      <c r="P1921" s="9"/>
    </row>
    <row r="1922" spans="2:16" x14ac:dyDescent="0.2">
      <c r="B1922" s="9"/>
      <c r="C1922" s="9"/>
      <c r="D1922" s="9"/>
      <c r="E1922" s="9"/>
      <c r="F1922" s="9"/>
      <c r="G1922" s="9"/>
      <c r="H1922" s="9"/>
      <c r="I1922" s="9"/>
      <c r="J1922" s="9"/>
      <c r="K1922" s="9"/>
      <c r="L1922" s="9"/>
      <c r="M1922" s="9"/>
      <c r="N1922" s="9"/>
      <c r="O1922" s="9"/>
      <c r="P1922" s="9"/>
    </row>
    <row r="1923" spans="2:16" x14ac:dyDescent="0.2">
      <c r="B1923" s="9"/>
      <c r="C1923" s="9"/>
      <c r="D1923" s="9"/>
      <c r="E1923" s="9"/>
      <c r="F1923" s="9"/>
      <c r="G1923" s="9"/>
      <c r="H1923" s="9"/>
      <c r="I1923" s="9"/>
      <c r="J1923" s="9"/>
      <c r="K1923" s="9"/>
      <c r="L1923" s="9"/>
      <c r="M1923" s="9"/>
      <c r="N1923" s="9"/>
      <c r="O1923" s="9"/>
      <c r="P1923" s="9"/>
    </row>
    <row r="1924" spans="2:16" x14ac:dyDescent="0.2">
      <c r="B1924" s="9"/>
      <c r="C1924" s="9"/>
      <c r="D1924" s="9"/>
      <c r="E1924" s="9"/>
      <c r="F1924" s="9"/>
      <c r="G1924" s="9"/>
      <c r="H1924" s="9"/>
      <c r="I1924" s="9"/>
      <c r="J1924" s="9"/>
      <c r="K1924" s="9"/>
      <c r="L1924" s="9"/>
      <c r="M1924" s="9"/>
      <c r="N1924" s="9"/>
      <c r="O1924" s="9"/>
      <c r="P1924" s="9"/>
    </row>
    <row r="1925" spans="2:16" x14ac:dyDescent="0.2">
      <c r="B1925" s="9"/>
      <c r="C1925" s="9"/>
      <c r="D1925" s="9"/>
      <c r="E1925" s="9"/>
      <c r="F1925" s="9"/>
      <c r="G1925" s="9"/>
      <c r="H1925" s="9"/>
      <c r="I1925" s="9"/>
      <c r="J1925" s="9"/>
      <c r="K1925" s="9"/>
      <c r="L1925" s="9"/>
      <c r="M1925" s="9"/>
      <c r="N1925" s="9"/>
      <c r="O1925" s="9"/>
      <c r="P1925" s="9"/>
    </row>
    <row r="1926" spans="2:16" x14ac:dyDescent="0.2">
      <c r="B1926" s="9"/>
      <c r="C1926" s="9"/>
      <c r="D1926" s="9"/>
      <c r="E1926" s="9"/>
      <c r="F1926" s="9"/>
      <c r="G1926" s="9"/>
      <c r="H1926" s="9"/>
      <c r="I1926" s="9"/>
      <c r="J1926" s="9"/>
      <c r="K1926" s="9"/>
      <c r="L1926" s="9"/>
      <c r="M1926" s="9"/>
      <c r="N1926" s="9"/>
      <c r="O1926" s="9"/>
      <c r="P1926" s="9"/>
    </row>
    <row r="1927" spans="2:16" x14ac:dyDescent="0.2">
      <c r="B1927" s="9"/>
      <c r="C1927" s="9"/>
      <c r="D1927" s="9"/>
      <c r="E1927" s="9"/>
      <c r="F1927" s="9"/>
      <c r="G1927" s="9"/>
      <c r="H1927" s="9"/>
      <c r="I1927" s="9"/>
      <c r="J1927" s="9"/>
      <c r="K1927" s="9"/>
      <c r="L1927" s="9"/>
      <c r="M1927" s="9"/>
      <c r="N1927" s="9"/>
      <c r="O1927" s="9"/>
      <c r="P1927" s="9"/>
    </row>
    <row r="1928" spans="2:16" x14ac:dyDescent="0.2">
      <c r="B1928" s="9"/>
      <c r="C1928" s="9"/>
      <c r="D1928" s="9"/>
      <c r="E1928" s="9"/>
      <c r="F1928" s="9"/>
      <c r="G1928" s="9"/>
      <c r="H1928" s="9"/>
      <c r="I1928" s="9"/>
      <c r="J1928" s="9"/>
      <c r="K1928" s="9"/>
      <c r="L1928" s="9"/>
      <c r="M1928" s="9"/>
      <c r="N1928" s="9"/>
      <c r="O1928" s="9"/>
      <c r="P1928" s="9"/>
    </row>
    <row r="1929" spans="2:16" x14ac:dyDescent="0.2">
      <c r="B1929" s="9"/>
      <c r="C1929" s="9"/>
      <c r="D1929" s="9"/>
      <c r="E1929" s="9"/>
      <c r="F1929" s="9"/>
      <c r="G1929" s="9"/>
      <c r="H1929" s="9"/>
      <c r="I1929" s="9"/>
      <c r="J1929" s="9"/>
      <c r="K1929" s="9"/>
      <c r="L1929" s="9"/>
      <c r="M1929" s="9"/>
      <c r="N1929" s="9"/>
      <c r="O1929" s="9"/>
      <c r="P1929" s="9"/>
    </row>
    <row r="1930" spans="2:16" x14ac:dyDescent="0.2">
      <c r="B1930" s="9"/>
      <c r="C1930" s="9"/>
      <c r="D1930" s="9"/>
      <c r="E1930" s="9"/>
      <c r="F1930" s="9"/>
      <c r="G1930" s="9"/>
      <c r="H1930" s="9"/>
      <c r="I1930" s="9"/>
      <c r="J1930" s="9"/>
      <c r="K1930" s="9"/>
      <c r="L1930" s="9"/>
      <c r="M1930" s="9"/>
      <c r="N1930" s="9"/>
      <c r="O1930" s="9"/>
      <c r="P1930" s="9"/>
    </row>
    <row r="1931" spans="2:16" x14ac:dyDescent="0.2">
      <c r="B1931" s="9"/>
      <c r="C1931" s="9"/>
      <c r="D1931" s="9"/>
      <c r="E1931" s="9"/>
      <c r="F1931" s="9"/>
      <c r="G1931" s="9"/>
      <c r="H1931" s="9"/>
      <c r="I1931" s="9"/>
      <c r="J1931" s="9"/>
      <c r="K1931" s="9"/>
      <c r="L1931" s="9"/>
      <c r="M1931" s="9"/>
      <c r="N1931" s="9"/>
      <c r="O1931" s="9"/>
      <c r="P1931" s="9"/>
    </row>
    <row r="1932" spans="2:16" x14ac:dyDescent="0.2">
      <c r="B1932" s="9"/>
      <c r="C1932" s="9"/>
      <c r="D1932" s="9"/>
      <c r="E1932" s="9"/>
      <c r="F1932" s="9"/>
      <c r="G1932" s="9"/>
      <c r="H1932" s="9"/>
      <c r="I1932" s="9"/>
      <c r="J1932" s="9"/>
      <c r="K1932" s="9"/>
      <c r="L1932" s="9"/>
      <c r="M1932" s="9"/>
      <c r="N1932" s="9"/>
      <c r="O1932" s="9"/>
      <c r="P1932" s="9"/>
    </row>
    <row r="1933" spans="2:16" x14ac:dyDescent="0.2">
      <c r="B1933" s="9"/>
      <c r="C1933" s="9"/>
      <c r="D1933" s="9"/>
      <c r="E1933" s="9"/>
      <c r="F1933" s="9"/>
      <c r="G1933" s="9"/>
      <c r="H1933" s="9"/>
      <c r="I1933" s="9"/>
      <c r="J1933" s="9"/>
      <c r="K1933" s="9"/>
      <c r="L1933" s="9"/>
      <c r="M1933" s="9"/>
      <c r="N1933" s="9"/>
      <c r="O1933" s="9"/>
      <c r="P1933" s="9"/>
    </row>
    <row r="1934" spans="2:16" x14ac:dyDescent="0.2">
      <c r="B1934" s="9"/>
      <c r="C1934" s="9"/>
      <c r="D1934" s="9"/>
      <c r="E1934" s="9"/>
      <c r="F1934" s="9"/>
      <c r="G1934" s="9"/>
      <c r="H1934" s="9"/>
      <c r="I1934" s="9"/>
      <c r="J1934" s="9"/>
      <c r="K1934" s="9"/>
      <c r="L1934" s="9"/>
      <c r="M1934" s="9"/>
      <c r="N1934" s="9"/>
      <c r="O1934" s="9"/>
      <c r="P1934" s="9"/>
    </row>
    <row r="1935" spans="2:16" x14ac:dyDescent="0.2">
      <c r="B1935" s="9"/>
      <c r="C1935" s="9"/>
      <c r="D1935" s="9"/>
      <c r="E1935" s="9"/>
      <c r="F1935" s="9"/>
      <c r="G1935" s="9"/>
      <c r="H1935" s="9"/>
      <c r="I1935" s="9"/>
      <c r="J1935" s="9"/>
      <c r="K1935" s="9"/>
      <c r="L1935" s="9"/>
      <c r="M1935" s="9"/>
      <c r="N1935" s="9"/>
      <c r="O1935" s="9"/>
      <c r="P1935" s="9"/>
    </row>
    <row r="1936" spans="2:16" x14ac:dyDescent="0.2">
      <c r="B1936" s="9"/>
      <c r="C1936" s="9"/>
      <c r="D1936" s="9"/>
      <c r="E1936" s="9"/>
      <c r="F1936" s="9"/>
      <c r="G1936" s="9"/>
      <c r="H1936" s="9"/>
      <c r="I1936" s="9"/>
      <c r="J1936" s="9"/>
      <c r="K1936" s="9"/>
      <c r="L1936" s="9"/>
      <c r="M1936" s="9"/>
      <c r="N1936" s="9"/>
      <c r="O1936" s="9"/>
      <c r="P1936" s="9"/>
    </row>
    <row r="1937" spans="2:16" x14ac:dyDescent="0.2">
      <c r="B1937" s="9"/>
      <c r="C1937" s="9"/>
      <c r="D1937" s="9"/>
      <c r="E1937" s="9"/>
      <c r="F1937" s="9"/>
      <c r="G1937" s="9"/>
      <c r="H1937" s="9"/>
      <c r="I1937" s="9"/>
      <c r="J1937" s="9"/>
      <c r="K1937" s="9"/>
      <c r="L1937" s="9"/>
      <c r="M1937" s="9"/>
      <c r="N1937" s="9"/>
      <c r="O1937" s="9"/>
      <c r="P1937" s="9"/>
    </row>
    <row r="1938" spans="2:16" x14ac:dyDescent="0.2">
      <c r="B1938" s="9"/>
      <c r="C1938" s="9"/>
      <c r="D1938" s="9"/>
      <c r="E1938" s="9"/>
      <c r="F1938" s="9"/>
      <c r="G1938" s="9"/>
      <c r="H1938" s="9"/>
      <c r="I1938" s="9"/>
      <c r="J1938" s="9"/>
      <c r="K1938" s="9"/>
      <c r="L1938" s="9"/>
      <c r="M1938" s="9"/>
      <c r="N1938" s="9"/>
      <c r="O1938" s="9"/>
      <c r="P1938" s="9"/>
    </row>
    <row r="1939" spans="2:16" x14ac:dyDescent="0.2">
      <c r="B1939" s="9"/>
      <c r="C1939" s="9"/>
      <c r="D1939" s="9"/>
      <c r="E1939" s="9"/>
      <c r="F1939" s="9"/>
      <c r="G1939" s="9"/>
      <c r="H1939" s="9"/>
      <c r="I1939" s="9"/>
      <c r="J1939" s="9"/>
      <c r="K1939" s="9"/>
      <c r="L1939" s="9"/>
      <c r="M1939" s="9"/>
      <c r="N1939" s="9"/>
      <c r="O1939" s="9"/>
      <c r="P1939" s="9"/>
    </row>
    <row r="1940" spans="2:16" x14ac:dyDescent="0.2">
      <c r="B1940" s="9"/>
      <c r="C1940" s="9"/>
      <c r="D1940" s="9"/>
      <c r="E1940" s="9"/>
      <c r="F1940" s="9"/>
      <c r="G1940" s="9"/>
      <c r="H1940" s="9"/>
      <c r="I1940" s="9"/>
      <c r="J1940" s="9"/>
      <c r="K1940" s="9"/>
      <c r="L1940" s="9"/>
      <c r="M1940" s="9"/>
      <c r="N1940" s="9"/>
      <c r="O1940" s="9"/>
      <c r="P1940" s="9"/>
    </row>
    <row r="1941" spans="2:16" x14ac:dyDescent="0.2">
      <c r="B1941" s="9"/>
      <c r="C1941" s="9"/>
      <c r="D1941" s="9"/>
      <c r="E1941" s="9"/>
      <c r="F1941" s="9"/>
      <c r="G1941" s="9"/>
      <c r="H1941" s="9"/>
      <c r="I1941" s="9"/>
      <c r="J1941" s="9"/>
      <c r="K1941" s="9"/>
      <c r="L1941" s="9"/>
      <c r="M1941" s="9"/>
      <c r="N1941" s="9"/>
      <c r="O1941" s="9"/>
      <c r="P1941" s="9"/>
    </row>
    <row r="1942" spans="2:16" x14ac:dyDescent="0.2">
      <c r="B1942" s="9"/>
      <c r="C1942" s="9"/>
      <c r="D1942" s="9"/>
      <c r="E1942" s="9"/>
      <c r="F1942" s="9"/>
      <c r="G1942" s="9"/>
      <c r="H1942" s="9"/>
      <c r="I1942" s="9"/>
      <c r="J1942" s="9"/>
      <c r="K1942" s="9"/>
      <c r="L1942" s="9"/>
      <c r="M1942" s="9"/>
      <c r="N1942" s="9"/>
      <c r="O1942" s="9"/>
      <c r="P1942" s="9"/>
    </row>
    <row r="1943" spans="2:16" x14ac:dyDescent="0.2">
      <c r="B1943" s="9"/>
      <c r="C1943" s="9"/>
      <c r="D1943" s="9"/>
      <c r="E1943" s="9"/>
      <c r="F1943" s="9"/>
      <c r="G1943" s="9"/>
      <c r="H1943" s="9"/>
      <c r="I1943" s="9"/>
      <c r="J1943" s="9"/>
      <c r="K1943" s="9"/>
      <c r="L1943" s="9"/>
      <c r="M1943" s="9"/>
      <c r="N1943" s="9"/>
      <c r="O1943" s="9"/>
      <c r="P1943" s="9"/>
    </row>
    <row r="1944" spans="2:16" x14ac:dyDescent="0.2">
      <c r="B1944" s="9"/>
      <c r="C1944" s="9"/>
      <c r="D1944" s="9"/>
      <c r="E1944" s="9"/>
      <c r="F1944" s="9"/>
      <c r="G1944" s="9"/>
      <c r="H1944" s="9"/>
      <c r="I1944" s="9"/>
      <c r="J1944" s="9"/>
      <c r="K1944" s="9"/>
      <c r="L1944" s="9"/>
      <c r="M1944" s="9"/>
      <c r="N1944" s="9"/>
      <c r="O1944" s="9"/>
      <c r="P1944" s="9"/>
    </row>
    <row r="1945" spans="2:16" x14ac:dyDescent="0.2">
      <c r="B1945" s="9"/>
      <c r="C1945" s="9"/>
      <c r="D1945" s="9"/>
      <c r="E1945" s="9"/>
      <c r="F1945" s="9"/>
      <c r="G1945" s="9"/>
      <c r="H1945" s="9"/>
      <c r="I1945" s="9"/>
      <c r="J1945" s="9"/>
      <c r="K1945" s="9"/>
      <c r="L1945" s="9"/>
      <c r="M1945" s="9"/>
      <c r="N1945" s="9"/>
      <c r="O1945" s="9"/>
      <c r="P1945" s="9"/>
    </row>
    <row r="1946" spans="2:16" x14ac:dyDescent="0.2">
      <c r="B1946" s="9"/>
      <c r="C1946" s="9"/>
      <c r="D1946" s="9"/>
      <c r="E1946" s="9"/>
      <c r="F1946" s="9"/>
      <c r="G1946" s="9"/>
      <c r="H1946" s="9"/>
      <c r="I1946" s="9"/>
      <c r="J1946" s="9"/>
      <c r="K1946" s="9"/>
      <c r="L1946" s="9"/>
      <c r="M1946" s="9"/>
      <c r="N1946" s="9"/>
      <c r="O1946" s="9"/>
      <c r="P1946" s="9"/>
    </row>
    <row r="1947" spans="2:16" x14ac:dyDescent="0.2">
      <c r="B1947" s="9"/>
      <c r="C1947" s="9"/>
      <c r="D1947" s="9"/>
      <c r="E1947" s="9"/>
      <c r="F1947" s="9"/>
      <c r="G1947" s="9"/>
      <c r="H1947" s="9"/>
      <c r="I1947" s="9"/>
      <c r="J1947" s="9"/>
      <c r="K1947" s="9"/>
      <c r="L1947" s="9"/>
      <c r="M1947" s="9"/>
      <c r="N1947" s="9"/>
      <c r="O1947" s="9"/>
      <c r="P1947" s="9"/>
    </row>
    <row r="1948" spans="2:16" x14ac:dyDescent="0.2">
      <c r="B1948" s="9"/>
      <c r="C1948" s="9"/>
      <c r="D1948" s="9"/>
      <c r="E1948" s="9"/>
      <c r="F1948" s="9"/>
      <c r="G1948" s="9"/>
      <c r="H1948" s="9"/>
      <c r="I1948" s="9"/>
      <c r="J1948" s="9"/>
      <c r="K1948" s="9"/>
      <c r="L1948" s="9"/>
      <c r="M1948" s="9"/>
      <c r="N1948" s="9"/>
      <c r="O1948" s="9"/>
      <c r="P1948" s="9"/>
    </row>
    <row r="1949" spans="2:16" x14ac:dyDescent="0.2">
      <c r="B1949" s="9"/>
      <c r="C1949" s="9"/>
      <c r="D1949" s="9"/>
      <c r="E1949" s="9"/>
      <c r="F1949" s="9"/>
      <c r="G1949" s="9"/>
      <c r="H1949" s="9"/>
      <c r="I1949" s="9"/>
      <c r="J1949" s="9"/>
      <c r="K1949" s="9"/>
      <c r="L1949" s="9"/>
      <c r="M1949" s="9"/>
      <c r="N1949" s="9"/>
      <c r="O1949" s="9"/>
      <c r="P1949" s="9"/>
    </row>
    <row r="1950" spans="2:16" x14ac:dyDescent="0.2">
      <c r="B1950" s="9"/>
      <c r="C1950" s="9"/>
      <c r="D1950" s="9"/>
      <c r="E1950" s="9"/>
      <c r="F1950" s="9"/>
      <c r="G1950" s="9"/>
      <c r="H1950" s="9"/>
      <c r="I1950" s="9"/>
      <c r="J1950" s="9"/>
      <c r="K1950" s="9"/>
      <c r="L1950" s="9"/>
      <c r="M1950" s="9"/>
      <c r="N1950" s="9"/>
      <c r="O1950" s="9"/>
      <c r="P1950" s="9"/>
    </row>
    <row r="1951" spans="2:16" x14ac:dyDescent="0.2">
      <c r="B1951" s="9"/>
      <c r="C1951" s="9"/>
      <c r="D1951" s="9"/>
      <c r="E1951" s="9"/>
      <c r="F1951" s="9"/>
      <c r="G1951" s="9"/>
      <c r="H1951" s="9"/>
      <c r="I1951" s="9"/>
      <c r="J1951" s="9"/>
      <c r="K1951" s="9"/>
      <c r="L1951" s="9"/>
      <c r="M1951" s="9"/>
      <c r="N1951" s="9"/>
      <c r="O1951" s="9"/>
      <c r="P1951" s="9"/>
    </row>
    <row r="1952" spans="2:16" x14ac:dyDescent="0.2">
      <c r="B1952" s="9"/>
      <c r="C1952" s="9"/>
      <c r="D1952" s="9"/>
      <c r="E1952" s="9"/>
      <c r="F1952" s="9"/>
      <c r="G1952" s="9"/>
      <c r="H1952" s="9"/>
      <c r="I1952" s="9"/>
      <c r="J1952" s="9"/>
      <c r="K1952" s="9"/>
      <c r="L1952" s="9"/>
      <c r="M1952" s="9"/>
      <c r="N1952" s="9"/>
      <c r="O1952" s="9"/>
      <c r="P1952" s="9"/>
    </row>
    <row r="1953" spans="2:16" x14ac:dyDescent="0.2">
      <c r="B1953" s="9"/>
      <c r="C1953" s="9"/>
      <c r="D1953" s="9"/>
      <c r="E1953" s="9"/>
      <c r="F1953" s="9"/>
      <c r="G1953" s="9"/>
      <c r="H1953" s="9"/>
      <c r="I1953" s="9"/>
      <c r="J1953" s="9"/>
      <c r="K1953" s="9"/>
      <c r="L1953" s="9"/>
      <c r="M1953" s="9"/>
      <c r="N1953" s="9"/>
      <c r="O1953" s="9"/>
      <c r="P1953" s="9"/>
    </row>
    <row r="1954" spans="2:16" x14ac:dyDescent="0.2">
      <c r="B1954" s="9"/>
      <c r="C1954" s="9"/>
      <c r="D1954" s="9"/>
      <c r="E1954" s="9"/>
      <c r="F1954" s="9"/>
      <c r="G1954" s="9"/>
      <c r="H1954" s="9"/>
      <c r="I1954" s="9"/>
      <c r="J1954" s="9"/>
      <c r="K1954" s="9"/>
      <c r="L1954" s="9"/>
      <c r="M1954" s="9"/>
      <c r="N1954" s="9"/>
      <c r="O1954" s="9"/>
      <c r="P1954" s="9"/>
    </row>
    <row r="1955" spans="2:16" x14ac:dyDescent="0.2">
      <c r="B1955" s="9"/>
      <c r="C1955" s="9"/>
      <c r="D1955" s="9"/>
      <c r="E1955" s="9"/>
      <c r="F1955" s="9"/>
      <c r="G1955" s="9"/>
      <c r="H1955" s="9"/>
      <c r="I1955" s="9"/>
      <c r="J1955" s="9"/>
      <c r="K1955" s="9"/>
      <c r="L1955" s="9"/>
      <c r="M1955" s="9"/>
      <c r="N1955" s="9"/>
      <c r="O1955" s="9"/>
      <c r="P1955" s="9"/>
    </row>
    <row r="1956" spans="2:16" x14ac:dyDescent="0.2">
      <c r="B1956" s="9"/>
      <c r="C1956" s="9"/>
      <c r="D1956" s="9"/>
      <c r="E1956" s="9"/>
      <c r="F1956" s="9"/>
      <c r="G1956" s="9"/>
      <c r="H1956" s="9"/>
      <c r="I1956" s="9"/>
      <c r="J1956" s="9"/>
      <c r="K1956" s="9"/>
      <c r="L1956" s="9"/>
      <c r="M1956" s="9"/>
      <c r="N1956" s="9"/>
      <c r="O1956" s="9"/>
      <c r="P1956" s="9"/>
    </row>
    <row r="1957" spans="2:16" x14ac:dyDescent="0.2">
      <c r="B1957" s="9"/>
      <c r="C1957" s="9"/>
      <c r="D1957" s="9"/>
      <c r="E1957" s="9"/>
      <c r="F1957" s="9"/>
      <c r="G1957" s="9"/>
      <c r="H1957" s="9"/>
      <c r="I1957" s="9"/>
      <c r="J1957" s="9"/>
      <c r="K1957" s="9"/>
      <c r="L1957" s="9"/>
      <c r="M1957" s="9"/>
      <c r="N1957" s="9"/>
      <c r="O1957" s="9"/>
      <c r="P1957" s="9"/>
    </row>
    <row r="1958" spans="2:16" x14ac:dyDescent="0.2">
      <c r="B1958" s="9"/>
      <c r="C1958" s="9"/>
      <c r="D1958" s="9"/>
      <c r="E1958" s="9"/>
      <c r="F1958" s="9"/>
      <c r="G1958" s="9"/>
      <c r="H1958" s="9"/>
      <c r="I1958" s="9"/>
      <c r="J1958" s="9"/>
      <c r="K1958" s="9"/>
      <c r="L1958" s="9"/>
      <c r="M1958" s="9"/>
      <c r="N1958" s="9"/>
      <c r="O1958" s="9"/>
      <c r="P1958" s="9"/>
    </row>
    <row r="1959" spans="2:16" x14ac:dyDescent="0.2">
      <c r="B1959" s="9"/>
      <c r="C1959" s="9"/>
      <c r="D1959" s="9"/>
      <c r="E1959" s="9"/>
      <c r="F1959" s="9"/>
      <c r="G1959" s="9"/>
      <c r="H1959" s="9"/>
      <c r="I1959" s="9"/>
      <c r="J1959" s="9"/>
      <c r="K1959" s="9"/>
      <c r="L1959" s="9"/>
      <c r="M1959" s="9"/>
      <c r="N1959" s="9"/>
      <c r="O1959" s="9"/>
      <c r="P1959" s="9"/>
    </row>
    <row r="1960" spans="2:16" x14ac:dyDescent="0.2">
      <c r="B1960" s="9"/>
      <c r="C1960" s="9"/>
      <c r="D1960" s="9"/>
      <c r="E1960" s="9"/>
      <c r="F1960" s="9"/>
      <c r="G1960" s="9"/>
      <c r="H1960" s="9"/>
      <c r="I1960" s="9"/>
      <c r="J1960" s="9"/>
      <c r="K1960" s="9"/>
      <c r="L1960" s="9"/>
      <c r="M1960" s="9"/>
      <c r="N1960" s="9"/>
      <c r="O1960" s="9"/>
      <c r="P1960" s="9"/>
    </row>
    <row r="1961" spans="2:16" x14ac:dyDescent="0.2">
      <c r="B1961" s="9"/>
      <c r="C1961" s="9"/>
      <c r="D1961" s="9"/>
      <c r="E1961" s="9"/>
      <c r="F1961" s="9"/>
      <c r="G1961" s="9"/>
      <c r="H1961" s="9"/>
      <c r="I1961" s="9"/>
      <c r="J1961" s="9"/>
      <c r="K1961" s="9"/>
      <c r="L1961" s="9"/>
      <c r="M1961" s="9"/>
      <c r="N1961" s="9"/>
      <c r="O1961" s="9"/>
      <c r="P1961" s="9"/>
    </row>
    <row r="1962" spans="2:16" x14ac:dyDescent="0.2">
      <c r="B1962" s="9"/>
      <c r="C1962" s="9"/>
      <c r="D1962" s="9"/>
      <c r="E1962" s="9"/>
      <c r="F1962" s="9"/>
      <c r="G1962" s="9"/>
      <c r="H1962" s="9"/>
      <c r="I1962" s="9"/>
      <c r="J1962" s="9"/>
      <c r="K1962" s="9"/>
      <c r="L1962" s="9"/>
      <c r="M1962" s="9"/>
      <c r="N1962" s="9"/>
      <c r="O1962" s="9"/>
      <c r="P1962" s="9"/>
    </row>
    <row r="1963" spans="2:16" x14ac:dyDescent="0.2">
      <c r="B1963" s="9"/>
      <c r="C1963" s="9"/>
      <c r="D1963" s="9"/>
      <c r="E1963" s="9"/>
      <c r="F1963" s="9"/>
      <c r="G1963" s="9"/>
      <c r="H1963" s="9"/>
      <c r="I1963" s="9"/>
      <c r="J1963" s="9"/>
      <c r="K1963" s="9"/>
      <c r="L1963" s="9"/>
      <c r="M1963" s="9"/>
      <c r="N1963" s="9"/>
      <c r="O1963" s="9"/>
      <c r="P1963" s="9"/>
    </row>
    <row r="1964" spans="2:16" x14ac:dyDescent="0.2">
      <c r="B1964" s="9"/>
      <c r="C1964" s="9"/>
      <c r="D1964" s="9"/>
      <c r="E1964" s="9"/>
      <c r="F1964" s="9"/>
      <c r="G1964" s="9"/>
      <c r="H1964" s="9"/>
      <c r="I1964" s="9"/>
      <c r="J1964" s="9"/>
      <c r="K1964" s="9"/>
      <c r="L1964" s="9"/>
      <c r="M1964" s="9"/>
      <c r="N1964" s="9"/>
      <c r="O1964" s="9"/>
      <c r="P1964" s="9"/>
    </row>
    <row r="1965" spans="2:16" x14ac:dyDescent="0.2">
      <c r="B1965" s="9"/>
      <c r="C1965" s="9"/>
      <c r="D1965" s="9"/>
      <c r="E1965" s="9"/>
      <c r="F1965" s="9"/>
      <c r="G1965" s="9"/>
      <c r="H1965" s="9"/>
      <c r="I1965" s="9"/>
      <c r="J1965" s="9"/>
      <c r="K1965" s="9"/>
      <c r="L1965" s="9"/>
      <c r="M1965" s="9"/>
      <c r="N1965" s="9"/>
      <c r="O1965" s="9"/>
      <c r="P1965" s="9"/>
    </row>
    <row r="1966" spans="2:16" x14ac:dyDescent="0.2">
      <c r="B1966" s="9"/>
      <c r="C1966" s="9"/>
      <c r="D1966" s="9"/>
      <c r="E1966" s="9"/>
      <c r="F1966" s="9"/>
      <c r="G1966" s="9"/>
      <c r="H1966" s="9"/>
      <c r="I1966" s="9"/>
      <c r="J1966" s="9"/>
      <c r="K1966" s="9"/>
      <c r="L1966" s="9"/>
      <c r="M1966" s="9"/>
      <c r="N1966" s="9"/>
      <c r="O1966" s="9"/>
      <c r="P1966" s="9"/>
    </row>
    <row r="1967" spans="2:16" x14ac:dyDescent="0.2">
      <c r="B1967" s="9"/>
      <c r="C1967" s="9"/>
      <c r="D1967" s="9"/>
      <c r="E1967" s="9"/>
      <c r="F1967" s="9"/>
      <c r="G1967" s="9"/>
      <c r="H1967" s="9"/>
      <c r="I1967" s="9"/>
      <c r="J1967" s="9"/>
      <c r="K1967" s="9"/>
      <c r="L1967" s="9"/>
      <c r="M1967" s="9"/>
      <c r="N1967" s="9"/>
      <c r="O1967" s="9"/>
      <c r="P1967" s="9"/>
    </row>
    <row r="1968" spans="2:16" x14ac:dyDescent="0.2">
      <c r="B1968" s="9"/>
      <c r="C1968" s="9"/>
      <c r="D1968" s="9"/>
      <c r="E1968" s="9"/>
      <c r="F1968" s="9"/>
      <c r="G1968" s="9"/>
      <c r="H1968" s="9"/>
      <c r="I1968" s="9"/>
      <c r="J1968" s="9"/>
      <c r="K1968" s="9"/>
      <c r="L1968" s="9"/>
      <c r="M1968" s="9"/>
      <c r="N1968" s="9"/>
      <c r="O1968" s="9"/>
      <c r="P1968" s="9"/>
    </row>
    <row r="1969" spans="2:16" x14ac:dyDescent="0.2">
      <c r="B1969" s="9"/>
      <c r="C1969" s="9"/>
      <c r="D1969" s="9"/>
      <c r="E1969" s="9"/>
      <c r="F1969" s="9"/>
      <c r="G1969" s="9"/>
      <c r="H1969" s="9"/>
      <c r="I1969" s="9"/>
      <c r="J1969" s="9"/>
      <c r="K1969" s="9"/>
      <c r="L1969" s="9"/>
      <c r="M1969" s="9"/>
      <c r="N1969" s="9"/>
      <c r="O1969" s="9"/>
      <c r="P1969" s="9"/>
    </row>
    <row r="1970" spans="2:16" x14ac:dyDescent="0.2">
      <c r="B1970" s="9"/>
      <c r="C1970" s="9"/>
      <c r="D1970" s="9"/>
      <c r="E1970" s="9"/>
      <c r="F1970" s="9"/>
      <c r="G1970" s="9"/>
      <c r="H1970" s="9"/>
      <c r="I1970" s="9"/>
      <c r="J1970" s="9"/>
      <c r="K1970" s="9"/>
      <c r="L1970" s="9"/>
      <c r="M1970" s="9"/>
      <c r="N1970" s="9"/>
      <c r="O1970" s="9"/>
      <c r="P1970" s="9"/>
    </row>
    <row r="1971" spans="2:16" x14ac:dyDescent="0.2">
      <c r="B1971" s="9"/>
      <c r="C1971" s="9"/>
      <c r="D1971" s="9"/>
      <c r="E1971" s="9"/>
      <c r="F1971" s="9"/>
      <c r="G1971" s="9"/>
      <c r="H1971" s="9"/>
      <c r="I1971" s="9"/>
      <c r="J1971" s="9"/>
      <c r="K1971" s="9"/>
      <c r="L1971" s="9"/>
      <c r="M1971" s="9"/>
      <c r="N1971" s="9"/>
      <c r="O1971" s="9"/>
      <c r="P1971" s="9"/>
    </row>
    <row r="1972" spans="2:16" x14ac:dyDescent="0.2">
      <c r="B1972" s="9"/>
      <c r="C1972" s="9"/>
      <c r="D1972" s="9"/>
      <c r="E1972" s="9"/>
      <c r="F1972" s="9"/>
      <c r="G1972" s="9"/>
      <c r="H1972" s="9"/>
      <c r="I1972" s="9"/>
      <c r="J1972" s="9"/>
      <c r="K1972" s="9"/>
      <c r="L1972" s="9"/>
      <c r="M1972" s="9"/>
      <c r="N1972" s="9"/>
      <c r="O1972" s="9"/>
      <c r="P1972" s="9"/>
    </row>
    <row r="1973" spans="2:16" x14ac:dyDescent="0.2">
      <c r="B1973" s="9"/>
      <c r="C1973" s="9"/>
      <c r="D1973" s="9"/>
      <c r="E1973" s="9"/>
      <c r="F1973" s="9"/>
      <c r="G1973" s="9"/>
      <c r="H1973" s="9"/>
      <c r="I1973" s="9"/>
      <c r="J1973" s="9"/>
      <c r="K1973" s="9"/>
      <c r="L1973" s="9"/>
      <c r="M1973" s="9"/>
      <c r="N1973" s="9"/>
      <c r="O1973" s="9"/>
      <c r="P1973" s="9"/>
    </row>
    <row r="1974" spans="2:16" x14ac:dyDescent="0.2">
      <c r="B1974" s="9"/>
      <c r="C1974" s="9"/>
      <c r="D1974" s="9"/>
      <c r="E1974" s="9"/>
      <c r="F1974" s="9"/>
      <c r="G1974" s="9"/>
      <c r="H1974" s="9"/>
      <c r="I1974" s="9"/>
      <c r="J1974" s="9"/>
      <c r="K1974" s="9"/>
      <c r="L1974" s="9"/>
      <c r="M1974" s="9"/>
      <c r="N1974" s="9"/>
      <c r="O1974" s="9"/>
      <c r="P1974" s="9"/>
    </row>
    <row r="1975" spans="2:16" x14ac:dyDescent="0.2">
      <c r="B1975" s="9"/>
      <c r="C1975" s="9"/>
      <c r="D1975" s="9"/>
      <c r="E1975" s="9"/>
      <c r="F1975" s="9"/>
      <c r="G1975" s="9"/>
      <c r="H1975" s="9"/>
      <c r="I1975" s="9"/>
      <c r="J1975" s="9"/>
      <c r="K1975" s="9"/>
      <c r="L1975" s="9"/>
      <c r="M1975" s="9"/>
      <c r="N1975" s="9"/>
      <c r="O1975" s="9"/>
      <c r="P1975" s="9"/>
    </row>
    <row r="1976" spans="2:16" x14ac:dyDescent="0.2">
      <c r="B1976" s="9"/>
      <c r="C1976" s="9"/>
      <c r="D1976" s="9"/>
      <c r="E1976" s="9"/>
      <c r="F1976" s="9"/>
      <c r="G1976" s="9"/>
      <c r="H1976" s="9"/>
      <c r="I1976" s="9"/>
      <c r="J1976" s="9"/>
      <c r="K1976" s="9"/>
      <c r="L1976" s="9"/>
      <c r="M1976" s="9"/>
      <c r="N1976" s="9"/>
      <c r="O1976" s="9"/>
      <c r="P1976" s="9"/>
    </row>
    <row r="1977" spans="2:16" x14ac:dyDescent="0.2">
      <c r="B1977" s="9"/>
      <c r="C1977" s="9"/>
      <c r="D1977" s="9"/>
      <c r="E1977" s="9"/>
      <c r="F1977" s="9"/>
      <c r="G1977" s="9"/>
      <c r="H1977" s="9"/>
      <c r="I1977" s="9"/>
      <c r="J1977" s="9"/>
      <c r="K1977" s="9"/>
      <c r="L1977" s="9"/>
      <c r="M1977" s="9"/>
      <c r="N1977" s="9"/>
      <c r="O1977" s="9"/>
      <c r="P1977" s="9"/>
    </row>
    <row r="1978" spans="2:16" x14ac:dyDescent="0.2">
      <c r="B1978" s="9"/>
      <c r="C1978" s="9"/>
      <c r="D1978" s="9"/>
      <c r="E1978" s="9"/>
      <c r="F1978" s="9"/>
      <c r="G1978" s="9"/>
      <c r="H1978" s="9"/>
      <c r="I1978" s="9"/>
      <c r="J1978" s="9"/>
      <c r="K1978" s="9"/>
      <c r="L1978" s="9"/>
      <c r="M1978" s="9"/>
      <c r="N1978" s="9"/>
      <c r="O1978" s="9"/>
      <c r="P1978" s="9"/>
    </row>
    <row r="1979" spans="2:16" x14ac:dyDescent="0.2">
      <c r="B1979" s="9"/>
      <c r="C1979" s="9"/>
      <c r="D1979" s="9"/>
      <c r="E1979" s="9"/>
      <c r="F1979" s="9"/>
      <c r="G1979" s="9"/>
      <c r="H1979" s="9"/>
      <c r="I1979" s="9"/>
      <c r="J1979" s="9"/>
      <c r="K1979" s="9"/>
      <c r="L1979" s="9"/>
      <c r="M1979" s="9"/>
      <c r="N1979" s="9"/>
      <c r="O1979" s="9"/>
      <c r="P1979" s="9"/>
    </row>
    <row r="1980" spans="2:16" x14ac:dyDescent="0.2">
      <c r="B1980" s="9"/>
      <c r="C1980" s="9"/>
      <c r="D1980" s="9"/>
      <c r="E1980" s="9"/>
      <c r="F1980" s="9"/>
      <c r="G1980" s="9"/>
      <c r="H1980" s="9"/>
      <c r="I1980" s="9"/>
      <c r="J1980" s="9"/>
      <c r="K1980" s="9"/>
      <c r="L1980" s="9"/>
      <c r="M1980" s="9"/>
      <c r="N1980" s="9"/>
      <c r="O1980" s="9"/>
      <c r="P1980" s="9"/>
    </row>
    <row r="1981" spans="2:16" x14ac:dyDescent="0.2">
      <c r="B1981" s="9"/>
      <c r="C1981" s="9"/>
      <c r="D1981" s="9"/>
      <c r="E1981" s="9"/>
      <c r="F1981" s="9"/>
      <c r="G1981" s="9"/>
      <c r="H1981" s="9"/>
      <c r="I1981" s="9"/>
      <c r="J1981" s="9"/>
      <c r="K1981" s="9"/>
      <c r="L1981" s="9"/>
      <c r="M1981" s="9"/>
      <c r="N1981" s="9"/>
      <c r="O1981" s="9"/>
      <c r="P1981" s="9"/>
    </row>
    <row r="1982" spans="2:16" x14ac:dyDescent="0.2">
      <c r="B1982" s="9"/>
      <c r="C1982" s="9"/>
      <c r="D1982" s="9"/>
      <c r="E1982" s="9"/>
      <c r="F1982" s="9"/>
      <c r="G1982" s="9"/>
      <c r="H1982" s="9"/>
      <c r="I1982" s="9"/>
      <c r="J1982" s="9"/>
      <c r="K1982" s="9"/>
      <c r="L1982" s="9"/>
      <c r="M1982" s="9"/>
      <c r="N1982" s="9"/>
      <c r="O1982" s="9"/>
      <c r="P1982" s="9"/>
    </row>
    <row r="1983" spans="2:16" x14ac:dyDescent="0.2">
      <c r="B1983" s="9"/>
      <c r="C1983" s="9"/>
      <c r="D1983" s="9"/>
      <c r="E1983" s="9"/>
      <c r="F1983" s="9"/>
      <c r="G1983" s="9"/>
      <c r="H1983" s="9"/>
      <c r="I1983" s="9"/>
      <c r="J1983" s="9"/>
      <c r="K1983" s="9"/>
      <c r="L1983" s="9"/>
      <c r="M1983" s="9"/>
      <c r="N1983" s="9"/>
      <c r="O1983" s="9"/>
      <c r="P1983" s="9"/>
    </row>
    <row r="1984" spans="2:16" x14ac:dyDescent="0.2">
      <c r="B1984" s="9"/>
      <c r="C1984" s="9"/>
      <c r="D1984" s="9"/>
      <c r="E1984" s="9"/>
      <c r="F1984" s="9"/>
      <c r="G1984" s="9"/>
      <c r="H1984" s="9"/>
      <c r="I1984" s="9"/>
      <c r="J1984" s="9"/>
      <c r="K1984" s="9"/>
      <c r="L1984" s="9"/>
      <c r="M1984" s="9"/>
      <c r="N1984" s="9"/>
      <c r="O1984" s="9"/>
      <c r="P1984" s="9"/>
    </row>
    <row r="1985" spans="2:16" x14ac:dyDescent="0.2">
      <c r="B1985" s="9"/>
      <c r="C1985" s="9"/>
      <c r="D1985" s="9"/>
      <c r="E1985" s="9"/>
      <c r="F1985" s="9"/>
      <c r="G1985" s="9"/>
      <c r="H1985" s="9"/>
      <c r="I1985" s="9"/>
      <c r="J1985" s="9"/>
      <c r="K1985" s="9"/>
      <c r="L1985" s="9"/>
      <c r="M1985" s="9"/>
      <c r="N1985" s="9"/>
      <c r="O1985" s="9"/>
      <c r="P1985" s="9"/>
    </row>
    <row r="1986" spans="2:16" x14ac:dyDescent="0.2">
      <c r="B1986" s="9"/>
      <c r="C1986" s="9"/>
      <c r="D1986" s="9"/>
      <c r="E1986" s="9"/>
      <c r="F1986" s="9"/>
      <c r="G1986" s="9"/>
      <c r="H1986" s="9"/>
      <c r="I1986" s="9"/>
      <c r="J1986" s="9"/>
      <c r="K1986" s="9"/>
      <c r="L1986" s="9"/>
      <c r="M1986" s="9"/>
      <c r="N1986" s="9"/>
      <c r="O1986" s="9"/>
      <c r="P1986" s="9"/>
    </row>
    <row r="1987" spans="2:16" x14ac:dyDescent="0.2">
      <c r="B1987" s="9"/>
      <c r="C1987" s="9"/>
      <c r="D1987" s="9"/>
      <c r="E1987" s="9"/>
      <c r="F1987" s="9"/>
      <c r="G1987" s="9"/>
      <c r="H1987" s="9"/>
      <c r="I1987" s="9"/>
      <c r="J1987" s="9"/>
      <c r="K1987" s="9"/>
      <c r="L1987" s="9"/>
      <c r="M1987" s="9"/>
      <c r="N1987" s="9"/>
      <c r="O1987" s="9"/>
      <c r="P1987" s="9"/>
    </row>
    <row r="1988" spans="2:16" x14ac:dyDescent="0.2">
      <c r="B1988" s="9"/>
      <c r="C1988" s="9"/>
      <c r="D1988" s="9"/>
      <c r="E1988" s="9"/>
      <c r="F1988" s="9"/>
      <c r="G1988" s="9"/>
      <c r="H1988" s="9"/>
      <c r="I1988" s="9"/>
      <c r="J1988" s="9"/>
      <c r="K1988" s="9"/>
      <c r="L1988" s="9"/>
      <c r="M1988" s="9"/>
      <c r="N1988" s="9"/>
      <c r="O1988" s="9"/>
      <c r="P1988" s="9"/>
    </row>
    <row r="1989" spans="2:16" x14ac:dyDescent="0.2">
      <c r="B1989" s="9"/>
      <c r="C1989" s="9"/>
      <c r="D1989" s="9"/>
      <c r="E1989" s="9"/>
      <c r="F1989" s="9"/>
      <c r="G1989" s="9"/>
      <c r="H1989" s="9"/>
      <c r="I1989" s="9"/>
      <c r="J1989" s="9"/>
      <c r="K1989" s="9"/>
      <c r="L1989" s="9"/>
      <c r="M1989" s="9"/>
      <c r="N1989" s="9"/>
      <c r="O1989" s="9"/>
      <c r="P1989" s="9"/>
    </row>
    <row r="1990" spans="2:16" x14ac:dyDescent="0.2">
      <c r="B1990" s="9"/>
      <c r="C1990" s="9"/>
      <c r="D1990" s="9"/>
      <c r="E1990" s="9"/>
      <c r="F1990" s="9"/>
      <c r="G1990" s="9"/>
      <c r="H1990" s="9"/>
      <c r="I1990" s="9"/>
      <c r="J1990" s="9"/>
      <c r="K1990" s="9"/>
      <c r="L1990" s="9"/>
      <c r="M1990" s="9"/>
      <c r="N1990" s="9"/>
      <c r="O1990" s="9"/>
      <c r="P1990" s="9"/>
    </row>
    <row r="1991" spans="2:16" x14ac:dyDescent="0.2">
      <c r="B1991" s="9"/>
      <c r="C1991" s="9"/>
      <c r="D1991" s="9"/>
      <c r="E1991" s="9"/>
      <c r="F1991" s="9"/>
      <c r="G1991" s="9"/>
      <c r="H1991" s="9"/>
      <c r="I1991" s="9"/>
      <c r="J1991" s="9"/>
      <c r="K1991" s="9"/>
      <c r="L1991" s="9"/>
      <c r="M1991" s="9"/>
      <c r="N1991" s="9"/>
      <c r="O1991" s="9"/>
      <c r="P1991" s="9"/>
    </row>
    <row r="1992" spans="2:16" x14ac:dyDescent="0.2">
      <c r="B1992" s="9"/>
      <c r="C1992" s="9"/>
      <c r="D1992" s="9"/>
      <c r="E1992" s="9"/>
      <c r="F1992" s="9"/>
      <c r="G1992" s="9"/>
      <c r="H1992" s="9"/>
      <c r="I1992" s="9"/>
      <c r="J1992" s="9"/>
      <c r="K1992" s="9"/>
      <c r="L1992" s="9"/>
      <c r="M1992" s="9"/>
      <c r="N1992" s="9"/>
      <c r="O1992" s="9"/>
      <c r="P1992" s="9"/>
    </row>
    <row r="1993" spans="2:16" x14ac:dyDescent="0.2">
      <c r="B1993" s="9"/>
      <c r="C1993" s="9"/>
      <c r="D1993" s="9"/>
      <c r="E1993" s="9"/>
      <c r="F1993" s="9"/>
      <c r="G1993" s="9"/>
      <c r="H1993" s="9"/>
      <c r="I1993" s="9"/>
      <c r="J1993" s="9"/>
      <c r="K1993" s="9"/>
      <c r="L1993" s="9"/>
      <c r="M1993" s="9"/>
      <c r="N1993" s="9"/>
      <c r="O1993" s="9"/>
      <c r="P1993" s="9"/>
    </row>
    <row r="1994" spans="2:16" x14ac:dyDescent="0.2">
      <c r="B1994" s="9"/>
      <c r="C1994" s="9"/>
      <c r="D1994" s="9"/>
      <c r="E1994" s="9"/>
      <c r="F1994" s="9"/>
      <c r="G1994" s="9"/>
      <c r="H1994" s="9"/>
      <c r="I1994" s="9"/>
      <c r="J1994" s="9"/>
      <c r="K1994" s="9"/>
      <c r="L1994" s="9"/>
      <c r="M1994" s="9"/>
      <c r="N1994" s="9"/>
      <c r="O1994" s="9"/>
      <c r="P1994" s="9"/>
    </row>
    <row r="1995" spans="2:16" x14ac:dyDescent="0.2">
      <c r="B1995" s="9"/>
      <c r="C1995" s="9"/>
      <c r="D1995" s="9"/>
      <c r="E1995" s="9"/>
      <c r="F1995" s="9"/>
      <c r="G1995" s="9"/>
      <c r="H1995" s="9"/>
      <c r="I1995" s="9"/>
      <c r="J1995" s="9"/>
      <c r="K1995" s="9"/>
      <c r="L1995" s="9"/>
      <c r="M1995" s="9"/>
      <c r="N1995" s="9"/>
      <c r="O1995" s="9"/>
      <c r="P1995" s="9"/>
    </row>
    <row r="1996" spans="2:16" x14ac:dyDescent="0.2">
      <c r="B1996" s="9"/>
      <c r="C1996" s="9"/>
      <c r="D1996" s="9"/>
      <c r="E1996" s="9"/>
      <c r="F1996" s="9"/>
      <c r="G1996" s="9"/>
      <c r="H1996" s="9"/>
      <c r="I1996" s="9"/>
      <c r="J1996" s="9"/>
      <c r="K1996" s="9"/>
      <c r="L1996" s="9"/>
      <c r="M1996" s="9"/>
      <c r="N1996" s="9"/>
      <c r="O1996" s="9"/>
      <c r="P1996" s="9"/>
    </row>
    <row r="1997" spans="2:16" x14ac:dyDescent="0.2">
      <c r="B1997" s="9"/>
      <c r="C1997" s="9"/>
      <c r="D1997" s="9"/>
      <c r="E1997" s="9"/>
      <c r="F1997" s="9"/>
      <c r="G1997" s="9"/>
      <c r="H1997" s="9"/>
      <c r="I1997" s="9"/>
      <c r="J1997" s="9"/>
      <c r="K1997" s="9"/>
      <c r="L1997" s="9"/>
      <c r="M1997" s="9"/>
      <c r="N1997" s="9"/>
      <c r="O1997" s="9"/>
      <c r="P1997" s="9"/>
    </row>
    <row r="1998" spans="2:16" x14ac:dyDescent="0.2">
      <c r="B1998" s="9"/>
      <c r="C1998" s="9"/>
      <c r="D1998" s="9"/>
      <c r="E1998" s="9"/>
      <c r="F1998" s="9"/>
      <c r="G1998" s="9"/>
      <c r="H1998" s="9"/>
      <c r="I1998" s="9"/>
      <c r="J1998" s="9"/>
      <c r="K1998" s="9"/>
      <c r="L1998" s="9"/>
      <c r="M1998" s="9"/>
      <c r="N1998" s="9"/>
      <c r="O1998" s="9"/>
      <c r="P1998" s="9"/>
    </row>
    <row r="1999" spans="2:16" x14ac:dyDescent="0.2">
      <c r="B1999" s="9"/>
      <c r="C1999" s="9"/>
      <c r="D1999" s="9"/>
      <c r="E1999" s="9"/>
      <c r="F1999" s="9"/>
      <c r="G1999" s="9"/>
      <c r="H1999" s="9"/>
      <c r="I1999" s="9"/>
      <c r="J1999" s="9"/>
      <c r="K1999" s="9"/>
      <c r="L1999" s="9"/>
      <c r="M1999" s="9"/>
      <c r="N1999" s="9"/>
      <c r="O1999" s="9"/>
      <c r="P1999" s="9"/>
    </row>
    <row r="2000" spans="2:16" x14ac:dyDescent="0.2">
      <c r="B2000" s="9"/>
      <c r="C2000" s="9"/>
      <c r="D2000" s="9"/>
      <c r="E2000" s="9"/>
      <c r="F2000" s="9"/>
      <c r="G2000" s="9"/>
      <c r="H2000" s="9"/>
      <c r="I2000" s="9"/>
      <c r="J2000" s="9"/>
      <c r="K2000" s="9"/>
      <c r="L2000" s="9"/>
      <c r="M2000" s="9"/>
      <c r="N2000" s="9"/>
      <c r="O2000" s="9"/>
      <c r="P2000" s="9"/>
    </row>
    <row r="2001" spans="2:16" x14ac:dyDescent="0.2">
      <c r="B2001" s="9"/>
      <c r="C2001" s="9"/>
      <c r="D2001" s="9"/>
      <c r="E2001" s="9"/>
      <c r="F2001" s="9"/>
      <c r="G2001" s="9"/>
      <c r="H2001" s="9"/>
      <c r="I2001" s="9"/>
      <c r="J2001" s="9"/>
      <c r="K2001" s="9"/>
      <c r="L2001" s="9"/>
      <c r="M2001" s="9"/>
      <c r="N2001" s="9"/>
      <c r="O2001" s="9"/>
      <c r="P2001" s="9"/>
    </row>
    <row r="2002" spans="2:16" x14ac:dyDescent="0.2">
      <c r="B2002" s="9"/>
      <c r="C2002" s="9"/>
      <c r="D2002" s="9"/>
      <c r="E2002" s="9"/>
      <c r="F2002" s="9"/>
      <c r="G2002" s="9"/>
      <c r="H2002" s="9"/>
      <c r="I2002" s="9"/>
      <c r="J2002" s="9"/>
      <c r="K2002" s="9"/>
      <c r="L2002" s="9"/>
      <c r="M2002" s="9"/>
      <c r="N2002" s="9"/>
      <c r="O2002" s="9"/>
      <c r="P2002" s="9"/>
    </row>
    <row r="2003" spans="2:16" x14ac:dyDescent="0.2">
      <c r="B2003" s="9"/>
      <c r="C2003" s="9"/>
      <c r="D2003" s="9"/>
      <c r="E2003" s="9"/>
      <c r="F2003" s="9"/>
      <c r="G2003" s="9"/>
      <c r="H2003" s="9"/>
      <c r="I2003" s="9"/>
      <c r="J2003" s="9"/>
      <c r="K2003" s="9"/>
      <c r="L2003" s="9"/>
      <c r="M2003" s="9"/>
      <c r="N2003" s="9"/>
      <c r="O2003" s="9"/>
      <c r="P2003" s="9"/>
    </row>
    <row r="2004" spans="2:16" x14ac:dyDescent="0.2">
      <c r="B2004" s="9"/>
      <c r="C2004" s="9"/>
      <c r="D2004" s="9"/>
      <c r="E2004" s="9"/>
      <c r="F2004" s="9"/>
      <c r="G2004" s="9"/>
      <c r="H2004" s="9"/>
      <c r="I2004" s="9"/>
      <c r="J2004" s="9"/>
      <c r="K2004" s="9"/>
      <c r="L2004" s="9"/>
      <c r="M2004" s="9"/>
      <c r="N2004" s="9"/>
      <c r="O2004" s="9"/>
      <c r="P2004" s="9"/>
    </row>
    <row r="2005" spans="2:16" x14ac:dyDescent="0.2">
      <c r="B2005" s="9"/>
      <c r="C2005" s="9"/>
      <c r="D2005" s="9"/>
      <c r="E2005" s="9"/>
      <c r="F2005" s="9"/>
      <c r="G2005" s="9"/>
      <c r="H2005" s="9"/>
      <c r="I2005" s="9"/>
      <c r="J2005" s="9"/>
      <c r="K2005" s="9"/>
      <c r="L2005" s="9"/>
      <c r="M2005" s="9"/>
      <c r="N2005" s="9"/>
      <c r="O2005" s="9"/>
      <c r="P2005" s="9"/>
    </row>
    <row r="2006" spans="2:16" x14ac:dyDescent="0.2">
      <c r="B2006" s="9"/>
      <c r="C2006" s="9"/>
      <c r="D2006" s="9"/>
      <c r="E2006" s="9"/>
      <c r="F2006" s="9"/>
      <c r="G2006" s="9"/>
      <c r="H2006" s="9"/>
      <c r="I2006" s="9"/>
      <c r="J2006" s="9"/>
      <c r="K2006" s="9"/>
      <c r="L2006" s="9"/>
      <c r="M2006" s="9"/>
      <c r="N2006" s="9"/>
      <c r="O2006" s="9"/>
      <c r="P2006" s="9"/>
    </row>
    <row r="2007" spans="2:16" x14ac:dyDescent="0.2">
      <c r="B2007" s="9"/>
      <c r="C2007" s="9"/>
      <c r="D2007" s="9"/>
      <c r="E2007" s="9"/>
      <c r="F2007" s="9"/>
      <c r="G2007" s="9"/>
      <c r="H2007" s="9"/>
      <c r="I2007" s="9"/>
      <c r="J2007" s="9"/>
      <c r="K2007" s="9"/>
      <c r="L2007" s="9"/>
      <c r="M2007" s="9"/>
      <c r="N2007" s="9"/>
      <c r="O2007" s="9"/>
      <c r="P2007" s="9"/>
    </row>
    <row r="2008" spans="2:16" x14ac:dyDescent="0.2">
      <c r="B2008" s="9"/>
      <c r="C2008" s="9"/>
      <c r="D2008" s="9"/>
      <c r="E2008" s="9"/>
      <c r="F2008" s="9"/>
      <c r="G2008" s="9"/>
      <c r="H2008" s="9"/>
      <c r="I2008" s="9"/>
      <c r="J2008" s="9"/>
      <c r="K2008" s="9"/>
      <c r="L2008" s="9"/>
      <c r="M2008" s="9"/>
      <c r="N2008" s="9"/>
      <c r="O2008" s="9"/>
      <c r="P2008" s="9"/>
    </row>
    <row r="2009" spans="2:16" x14ac:dyDescent="0.2">
      <c r="B2009" s="9"/>
      <c r="C2009" s="9"/>
      <c r="D2009" s="9"/>
      <c r="E2009" s="9"/>
      <c r="F2009" s="9"/>
      <c r="G2009" s="9"/>
      <c r="H2009" s="9"/>
      <c r="I2009" s="9"/>
      <c r="J2009" s="9"/>
      <c r="K2009" s="9"/>
      <c r="L2009" s="9"/>
      <c r="M2009" s="9"/>
      <c r="N2009" s="9"/>
      <c r="O2009" s="9"/>
      <c r="P2009" s="9"/>
    </row>
    <row r="2010" spans="2:16" x14ac:dyDescent="0.2">
      <c r="B2010" s="9"/>
      <c r="C2010" s="9"/>
      <c r="D2010" s="9"/>
      <c r="E2010" s="9"/>
      <c r="F2010" s="9"/>
      <c r="G2010" s="9"/>
      <c r="H2010" s="9"/>
      <c r="I2010" s="9"/>
      <c r="J2010" s="9"/>
      <c r="K2010" s="9"/>
      <c r="L2010" s="9"/>
      <c r="M2010" s="9"/>
      <c r="N2010" s="9"/>
      <c r="O2010" s="9"/>
      <c r="P2010" s="9"/>
    </row>
    <row r="2011" spans="2:16" x14ac:dyDescent="0.2">
      <c r="B2011" s="9"/>
      <c r="C2011" s="9"/>
      <c r="D2011" s="9"/>
      <c r="E2011" s="9"/>
      <c r="F2011" s="9"/>
      <c r="G2011" s="9"/>
      <c r="H2011" s="9"/>
      <c r="I2011" s="9"/>
      <c r="J2011" s="9"/>
      <c r="K2011" s="9"/>
      <c r="L2011" s="9"/>
      <c r="M2011" s="9"/>
      <c r="N2011" s="9"/>
      <c r="O2011" s="9"/>
      <c r="P2011" s="9"/>
    </row>
    <row r="2012" spans="2:16" x14ac:dyDescent="0.2">
      <c r="B2012" s="9"/>
      <c r="C2012" s="9"/>
      <c r="D2012" s="9"/>
      <c r="E2012" s="9"/>
      <c r="F2012" s="9"/>
      <c r="G2012" s="9"/>
      <c r="H2012" s="9"/>
      <c r="I2012" s="9"/>
      <c r="J2012" s="9"/>
      <c r="K2012" s="9"/>
      <c r="L2012" s="9"/>
      <c r="M2012" s="9"/>
      <c r="N2012" s="9"/>
      <c r="O2012" s="9"/>
      <c r="P2012" s="9"/>
    </row>
    <row r="2013" spans="2:16" x14ac:dyDescent="0.2">
      <c r="B2013" s="9"/>
      <c r="C2013" s="9"/>
      <c r="D2013" s="9"/>
      <c r="E2013" s="9"/>
      <c r="F2013" s="9"/>
      <c r="G2013" s="9"/>
      <c r="H2013" s="9"/>
      <c r="I2013" s="9"/>
      <c r="J2013" s="9"/>
      <c r="K2013" s="9"/>
      <c r="L2013" s="9"/>
      <c r="M2013" s="9"/>
      <c r="N2013" s="9"/>
      <c r="O2013" s="9"/>
      <c r="P2013" s="9"/>
    </row>
    <row r="2014" spans="2:16" x14ac:dyDescent="0.2">
      <c r="B2014" s="9"/>
      <c r="C2014" s="9"/>
      <c r="D2014" s="9"/>
      <c r="E2014" s="9"/>
      <c r="F2014" s="9"/>
      <c r="G2014" s="9"/>
      <c r="H2014" s="9"/>
      <c r="I2014" s="9"/>
      <c r="J2014" s="9"/>
      <c r="K2014" s="9"/>
      <c r="L2014" s="9"/>
      <c r="M2014" s="9"/>
      <c r="N2014" s="9"/>
      <c r="O2014" s="9"/>
      <c r="P2014" s="9"/>
    </row>
    <row r="2015" spans="2:16" x14ac:dyDescent="0.2">
      <c r="B2015" s="9"/>
      <c r="C2015" s="9"/>
      <c r="D2015" s="9"/>
      <c r="E2015" s="9"/>
      <c r="F2015" s="9"/>
      <c r="G2015" s="9"/>
      <c r="H2015" s="9"/>
      <c r="I2015" s="9"/>
      <c r="J2015" s="9"/>
      <c r="K2015" s="9"/>
      <c r="L2015" s="9"/>
      <c r="M2015" s="9"/>
      <c r="N2015" s="9"/>
      <c r="O2015" s="9"/>
      <c r="P2015" s="9"/>
    </row>
    <row r="2016" spans="2:16" x14ac:dyDescent="0.2">
      <c r="B2016" s="9"/>
      <c r="C2016" s="9"/>
      <c r="D2016" s="9"/>
      <c r="E2016" s="9"/>
      <c r="F2016" s="9"/>
      <c r="G2016" s="9"/>
      <c r="H2016" s="9"/>
      <c r="I2016" s="9"/>
      <c r="J2016" s="9"/>
      <c r="K2016" s="9"/>
      <c r="L2016" s="9"/>
      <c r="M2016" s="9"/>
      <c r="N2016" s="9"/>
      <c r="O2016" s="9"/>
      <c r="P2016" s="9"/>
    </row>
    <row r="2017" spans="2:16" x14ac:dyDescent="0.2">
      <c r="B2017" s="9"/>
      <c r="C2017" s="9"/>
      <c r="D2017" s="9"/>
      <c r="E2017" s="9"/>
      <c r="F2017" s="9"/>
      <c r="G2017" s="9"/>
      <c r="H2017" s="9"/>
      <c r="I2017" s="9"/>
      <c r="J2017" s="9"/>
      <c r="K2017" s="9"/>
      <c r="L2017" s="9"/>
      <c r="M2017" s="9"/>
      <c r="N2017" s="9"/>
      <c r="O2017" s="9"/>
      <c r="P2017" s="9"/>
    </row>
    <row r="2018" spans="2:16" x14ac:dyDescent="0.2">
      <c r="B2018" s="9"/>
      <c r="C2018" s="9"/>
      <c r="D2018" s="9"/>
      <c r="E2018" s="9"/>
      <c r="F2018" s="9"/>
      <c r="G2018" s="9"/>
      <c r="H2018" s="9"/>
      <c r="I2018" s="9"/>
      <c r="J2018" s="9"/>
      <c r="K2018" s="9"/>
      <c r="L2018" s="9"/>
      <c r="M2018" s="9"/>
      <c r="N2018" s="9"/>
      <c r="O2018" s="9"/>
      <c r="P2018" s="9"/>
    </row>
    <row r="2019" spans="2:16" x14ac:dyDescent="0.2">
      <c r="B2019" s="9"/>
      <c r="C2019" s="9"/>
      <c r="D2019" s="9"/>
      <c r="E2019" s="9"/>
      <c r="F2019" s="9"/>
      <c r="G2019" s="9"/>
      <c r="H2019" s="9"/>
      <c r="I2019" s="9"/>
      <c r="J2019" s="9"/>
      <c r="K2019" s="9"/>
      <c r="L2019" s="9"/>
      <c r="M2019" s="9"/>
      <c r="N2019" s="9"/>
      <c r="O2019" s="9"/>
      <c r="P2019" s="9"/>
    </row>
    <row r="2020" spans="2:16" x14ac:dyDescent="0.2">
      <c r="B2020" s="9"/>
      <c r="C2020" s="9"/>
      <c r="D2020" s="9"/>
      <c r="E2020" s="9"/>
      <c r="F2020" s="9"/>
      <c r="G2020" s="9"/>
      <c r="H2020" s="9"/>
      <c r="I2020" s="9"/>
      <c r="J2020" s="9"/>
      <c r="K2020" s="9"/>
      <c r="L2020" s="9"/>
      <c r="M2020" s="9"/>
      <c r="N2020" s="9"/>
      <c r="O2020" s="9"/>
      <c r="P2020" s="9"/>
    </row>
    <row r="2021" spans="2:16" x14ac:dyDescent="0.2">
      <c r="B2021" s="9"/>
      <c r="C2021" s="9"/>
      <c r="D2021" s="9"/>
      <c r="E2021" s="9"/>
      <c r="F2021" s="9"/>
      <c r="G2021" s="9"/>
      <c r="H2021" s="9"/>
      <c r="I2021" s="9"/>
      <c r="J2021" s="9"/>
      <c r="K2021" s="9"/>
      <c r="L2021" s="9"/>
      <c r="M2021" s="9"/>
      <c r="N2021" s="9"/>
      <c r="O2021" s="9"/>
      <c r="P2021" s="9"/>
    </row>
    <row r="2022" spans="2:16" x14ac:dyDescent="0.2">
      <c r="B2022" s="9"/>
      <c r="C2022" s="9"/>
      <c r="D2022" s="9"/>
      <c r="E2022" s="9"/>
      <c r="F2022" s="9"/>
      <c r="G2022" s="9"/>
      <c r="H2022" s="9"/>
      <c r="I2022" s="9"/>
      <c r="J2022" s="9"/>
      <c r="K2022" s="9"/>
      <c r="L2022" s="9"/>
      <c r="M2022" s="9"/>
      <c r="N2022" s="9"/>
      <c r="O2022" s="9"/>
      <c r="P2022" s="9"/>
    </row>
    <row r="2023" spans="2:16" x14ac:dyDescent="0.2">
      <c r="B2023" s="9"/>
      <c r="C2023" s="9"/>
      <c r="D2023" s="9"/>
      <c r="E2023" s="9"/>
      <c r="F2023" s="9"/>
      <c r="G2023" s="9"/>
      <c r="H2023" s="9"/>
      <c r="I2023" s="9"/>
      <c r="J2023" s="9"/>
      <c r="K2023" s="9"/>
      <c r="L2023" s="9"/>
      <c r="M2023" s="9"/>
      <c r="N2023" s="9"/>
      <c r="O2023" s="9"/>
      <c r="P2023" s="9"/>
    </row>
    <row r="2024" spans="2:16" x14ac:dyDescent="0.2">
      <c r="B2024" s="9"/>
      <c r="C2024" s="9"/>
      <c r="D2024" s="9"/>
      <c r="E2024" s="9"/>
      <c r="F2024" s="9"/>
      <c r="G2024" s="9"/>
      <c r="H2024" s="9"/>
      <c r="I2024" s="9"/>
      <c r="J2024" s="9"/>
      <c r="K2024" s="9"/>
      <c r="L2024" s="9"/>
      <c r="M2024" s="9"/>
      <c r="N2024" s="9"/>
      <c r="O2024" s="9"/>
      <c r="P2024" s="9"/>
    </row>
    <row r="2025" spans="2:16" x14ac:dyDescent="0.2">
      <c r="B2025" s="9"/>
      <c r="C2025" s="9"/>
      <c r="D2025" s="9"/>
      <c r="E2025" s="9"/>
      <c r="F2025" s="9"/>
      <c r="G2025" s="9"/>
      <c r="H2025" s="9"/>
      <c r="I2025" s="9"/>
      <c r="J2025" s="9"/>
      <c r="K2025" s="9"/>
      <c r="L2025" s="9"/>
      <c r="M2025" s="9"/>
      <c r="N2025" s="9"/>
      <c r="O2025" s="9"/>
      <c r="P2025" s="9"/>
    </row>
    <row r="2026" spans="2:16" x14ac:dyDescent="0.2">
      <c r="B2026" s="9"/>
      <c r="C2026" s="9"/>
      <c r="D2026" s="9"/>
      <c r="E2026" s="9"/>
      <c r="F2026" s="9"/>
      <c r="G2026" s="9"/>
      <c r="H2026" s="9"/>
      <c r="I2026" s="9"/>
      <c r="J2026" s="9"/>
      <c r="K2026" s="9"/>
      <c r="L2026" s="9"/>
      <c r="M2026" s="9"/>
      <c r="N2026" s="9"/>
      <c r="O2026" s="9"/>
      <c r="P2026" s="9"/>
    </row>
    <row r="2027" spans="2:16" x14ac:dyDescent="0.2">
      <c r="B2027" s="9"/>
      <c r="C2027" s="9"/>
      <c r="D2027" s="9"/>
      <c r="E2027" s="9"/>
      <c r="F2027" s="9"/>
      <c r="G2027" s="9"/>
      <c r="H2027" s="9"/>
      <c r="I2027" s="9"/>
      <c r="J2027" s="9"/>
      <c r="K2027" s="9"/>
      <c r="L2027" s="9"/>
      <c r="M2027" s="9"/>
      <c r="N2027" s="9"/>
      <c r="O2027" s="9"/>
      <c r="P2027" s="9"/>
    </row>
    <row r="2028" spans="2:16" x14ac:dyDescent="0.2">
      <c r="B2028" s="9"/>
      <c r="C2028" s="9"/>
      <c r="D2028" s="9"/>
      <c r="E2028" s="9"/>
      <c r="F2028" s="9"/>
      <c r="G2028" s="9"/>
      <c r="H2028" s="9"/>
      <c r="I2028" s="9"/>
      <c r="J2028" s="9"/>
      <c r="K2028" s="9"/>
      <c r="L2028" s="9"/>
      <c r="M2028" s="9"/>
      <c r="N2028" s="9"/>
      <c r="O2028" s="9"/>
      <c r="P2028" s="9"/>
    </row>
    <row r="2029" spans="2:16" x14ac:dyDescent="0.2">
      <c r="B2029" s="9"/>
      <c r="C2029" s="9"/>
      <c r="D2029" s="9"/>
      <c r="E2029" s="9"/>
      <c r="F2029" s="9"/>
      <c r="G2029" s="9"/>
      <c r="H2029" s="9"/>
      <c r="I2029" s="9"/>
      <c r="J2029" s="9"/>
      <c r="K2029" s="9"/>
      <c r="L2029" s="9"/>
      <c r="M2029" s="9"/>
      <c r="N2029" s="9"/>
      <c r="O2029" s="9"/>
      <c r="P2029" s="9"/>
    </row>
    <row r="2030" spans="2:16" x14ac:dyDescent="0.2">
      <c r="B2030" s="9"/>
      <c r="C2030" s="9"/>
      <c r="D2030" s="9"/>
      <c r="E2030" s="9"/>
      <c r="F2030" s="9"/>
      <c r="G2030" s="9"/>
      <c r="H2030" s="9"/>
      <c r="I2030" s="9"/>
      <c r="J2030" s="9"/>
      <c r="K2030" s="9"/>
      <c r="L2030" s="9"/>
      <c r="M2030" s="9"/>
      <c r="N2030" s="9"/>
      <c r="O2030" s="9"/>
      <c r="P2030" s="9"/>
    </row>
    <row r="2031" spans="2:16" x14ac:dyDescent="0.2">
      <c r="B2031" s="9"/>
      <c r="C2031" s="9"/>
      <c r="D2031" s="9"/>
      <c r="E2031" s="9"/>
      <c r="F2031" s="9"/>
      <c r="G2031" s="9"/>
      <c r="H2031" s="9"/>
      <c r="I2031" s="9"/>
      <c r="J2031" s="9"/>
      <c r="K2031" s="9"/>
      <c r="L2031" s="9"/>
      <c r="M2031" s="9"/>
      <c r="N2031" s="9"/>
      <c r="O2031" s="9"/>
      <c r="P2031" s="9"/>
    </row>
    <row r="2032" spans="2:16" x14ac:dyDescent="0.2">
      <c r="B2032" s="9"/>
      <c r="C2032" s="9"/>
      <c r="D2032" s="9"/>
      <c r="E2032" s="9"/>
      <c r="F2032" s="9"/>
      <c r="G2032" s="9"/>
      <c r="H2032" s="9"/>
      <c r="I2032" s="9"/>
      <c r="J2032" s="9"/>
      <c r="K2032" s="9"/>
      <c r="L2032" s="9"/>
      <c r="M2032" s="9"/>
      <c r="N2032" s="9"/>
      <c r="O2032" s="9"/>
      <c r="P2032" s="9"/>
    </row>
    <row r="2033" spans="2:16" x14ac:dyDescent="0.2">
      <c r="B2033" s="9"/>
      <c r="C2033" s="9"/>
      <c r="D2033" s="9"/>
      <c r="E2033" s="9"/>
      <c r="F2033" s="9"/>
      <c r="G2033" s="9"/>
      <c r="H2033" s="9"/>
      <c r="I2033" s="9"/>
      <c r="J2033" s="9"/>
      <c r="K2033" s="9"/>
      <c r="L2033" s="9"/>
      <c r="M2033" s="9"/>
      <c r="N2033" s="9"/>
      <c r="O2033" s="9"/>
      <c r="P2033" s="9"/>
    </row>
    <row r="2034" spans="2:16" x14ac:dyDescent="0.2">
      <c r="B2034" s="9"/>
      <c r="C2034" s="9"/>
      <c r="D2034" s="9"/>
      <c r="E2034" s="9"/>
      <c r="F2034" s="9"/>
      <c r="G2034" s="9"/>
      <c r="H2034" s="9"/>
      <c r="I2034" s="9"/>
      <c r="J2034" s="9"/>
      <c r="K2034" s="9"/>
      <c r="L2034" s="9"/>
      <c r="M2034" s="9"/>
      <c r="N2034" s="9"/>
      <c r="O2034" s="9"/>
      <c r="P2034" s="9"/>
    </row>
    <row r="2035" spans="2:16" x14ac:dyDescent="0.2">
      <c r="B2035" s="9"/>
      <c r="C2035" s="9"/>
      <c r="D2035" s="9"/>
      <c r="E2035" s="9"/>
      <c r="F2035" s="9"/>
      <c r="G2035" s="9"/>
      <c r="H2035" s="9"/>
      <c r="I2035" s="9"/>
      <c r="J2035" s="9"/>
      <c r="K2035" s="9"/>
      <c r="L2035" s="9"/>
      <c r="M2035" s="9"/>
      <c r="N2035" s="9"/>
      <c r="O2035" s="9"/>
      <c r="P2035" s="9"/>
    </row>
    <row r="2036" spans="2:16" x14ac:dyDescent="0.2">
      <c r="B2036" s="9"/>
      <c r="C2036" s="9"/>
      <c r="D2036" s="9"/>
      <c r="E2036" s="9"/>
      <c r="F2036" s="9"/>
      <c r="G2036" s="9"/>
      <c r="H2036" s="9"/>
      <c r="I2036" s="9"/>
      <c r="J2036" s="9"/>
      <c r="K2036" s="9"/>
      <c r="L2036" s="9"/>
      <c r="M2036" s="9"/>
      <c r="N2036" s="9"/>
      <c r="O2036" s="9"/>
      <c r="P2036" s="9"/>
    </row>
    <row r="2037" spans="2:16" x14ac:dyDescent="0.2">
      <c r="B2037" s="9"/>
      <c r="C2037" s="9"/>
      <c r="D2037" s="9"/>
      <c r="E2037" s="9"/>
      <c r="F2037" s="9"/>
      <c r="G2037" s="9"/>
      <c r="H2037" s="9"/>
      <c r="I2037" s="9"/>
      <c r="J2037" s="9"/>
      <c r="K2037" s="9"/>
      <c r="L2037" s="9"/>
      <c r="M2037" s="9"/>
      <c r="N2037" s="9"/>
      <c r="O2037" s="9"/>
      <c r="P2037" s="9"/>
    </row>
    <row r="2038" spans="2:16" x14ac:dyDescent="0.2">
      <c r="B2038" s="9"/>
      <c r="C2038" s="9"/>
      <c r="D2038" s="9"/>
      <c r="E2038" s="9"/>
      <c r="F2038" s="9"/>
      <c r="G2038" s="9"/>
      <c r="H2038" s="9"/>
      <c r="I2038" s="9"/>
      <c r="J2038" s="9"/>
      <c r="K2038" s="9"/>
      <c r="L2038" s="9"/>
      <c r="M2038" s="9"/>
      <c r="N2038" s="9"/>
      <c r="O2038" s="9"/>
      <c r="P2038" s="9"/>
    </row>
    <row r="2039" spans="2:16" x14ac:dyDescent="0.2">
      <c r="B2039" s="9"/>
      <c r="C2039" s="9"/>
      <c r="D2039" s="9"/>
      <c r="E2039" s="9"/>
      <c r="F2039" s="9"/>
      <c r="G2039" s="9"/>
      <c r="H2039" s="9"/>
      <c r="I2039" s="9"/>
      <c r="J2039" s="9"/>
      <c r="K2039" s="9"/>
      <c r="L2039" s="9"/>
      <c r="M2039" s="9"/>
      <c r="N2039" s="9"/>
      <c r="O2039" s="9"/>
      <c r="P2039" s="9"/>
    </row>
    <row r="2040" spans="2:16" x14ac:dyDescent="0.2">
      <c r="B2040" s="9"/>
      <c r="C2040" s="9"/>
      <c r="D2040" s="9"/>
      <c r="E2040" s="9"/>
      <c r="F2040" s="9"/>
      <c r="G2040" s="9"/>
      <c r="H2040" s="9"/>
      <c r="I2040" s="9"/>
      <c r="J2040" s="9"/>
      <c r="K2040" s="9"/>
      <c r="L2040" s="9"/>
      <c r="M2040" s="9"/>
      <c r="N2040" s="9"/>
      <c r="O2040" s="9"/>
      <c r="P2040" s="9"/>
    </row>
    <row r="2041" spans="2:16" x14ac:dyDescent="0.2">
      <c r="B2041" s="9"/>
      <c r="C2041" s="9"/>
      <c r="D2041" s="9"/>
      <c r="E2041" s="9"/>
      <c r="F2041" s="9"/>
      <c r="G2041" s="9"/>
      <c r="H2041" s="9"/>
      <c r="I2041" s="9"/>
      <c r="J2041" s="9"/>
      <c r="K2041" s="9"/>
      <c r="L2041" s="9"/>
      <c r="M2041" s="9"/>
      <c r="N2041" s="9"/>
      <c r="O2041" s="9"/>
      <c r="P2041" s="9"/>
    </row>
    <row r="2042" spans="2:16" x14ac:dyDescent="0.2">
      <c r="B2042" s="9"/>
      <c r="C2042" s="9"/>
      <c r="D2042" s="9"/>
      <c r="E2042" s="9"/>
      <c r="F2042" s="9"/>
      <c r="G2042" s="9"/>
      <c r="H2042" s="9"/>
      <c r="I2042" s="9"/>
      <c r="J2042" s="9"/>
      <c r="K2042" s="9"/>
      <c r="L2042" s="9"/>
      <c r="M2042" s="9"/>
      <c r="N2042" s="9"/>
      <c r="O2042" s="9"/>
      <c r="P2042" s="9"/>
    </row>
    <row r="2043" spans="2:16" x14ac:dyDescent="0.2">
      <c r="B2043" s="9"/>
      <c r="C2043" s="9"/>
      <c r="D2043" s="9"/>
      <c r="E2043" s="9"/>
      <c r="F2043" s="9"/>
      <c r="G2043" s="9"/>
      <c r="H2043" s="9"/>
      <c r="I2043" s="9"/>
      <c r="J2043" s="9"/>
      <c r="K2043" s="9"/>
      <c r="L2043" s="9"/>
      <c r="M2043" s="9"/>
      <c r="N2043" s="9"/>
      <c r="O2043" s="9"/>
      <c r="P2043" s="9"/>
    </row>
    <row r="2044" spans="2:16" x14ac:dyDescent="0.2">
      <c r="B2044" s="9"/>
      <c r="C2044" s="9"/>
      <c r="D2044" s="9"/>
      <c r="E2044" s="9"/>
      <c r="F2044" s="9"/>
      <c r="G2044" s="9"/>
      <c r="H2044" s="9"/>
      <c r="I2044" s="9"/>
      <c r="J2044" s="9"/>
      <c r="K2044" s="9"/>
      <c r="L2044" s="9"/>
      <c r="M2044" s="9"/>
      <c r="N2044" s="9"/>
      <c r="O2044" s="9"/>
      <c r="P2044" s="9"/>
    </row>
    <row r="2045" spans="2:16" x14ac:dyDescent="0.2">
      <c r="B2045" s="9"/>
      <c r="C2045" s="9"/>
      <c r="D2045" s="9"/>
      <c r="E2045" s="9"/>
      <c r="F2045" s="9"/>
      <c r="G2045" s="9"/>
      <c r="H2045" s="9"/>
      <c r="I2045" s="9"/>
      <c r="J2045" s="9"/>
      <c r="K2045" s="9"/>
      <c r="L2045" s="9"/>
      <c r="M2045" s="9"/>
      <c r="N2045" s="9"/>
      <c r="O2045" s="9"/>
      <c r="P2045" s="9"/>
    </row>
    <row r="2046" spans="2:16" x14ac:dyDescent="0.2">
      <c r="B2046" s="9"/>
      <c r="C2046" s="9"/>
      <c r="D2046" s="9"/>
      <c r="E2046" s="9"/>
      <c r="F2046" s="9"/>
      <c r="G2046" s="9"/>
      <c r="H2046" s="9"/>
      <c r="I2046" s="9"/>
      <c r="J2046" s="9"/>
      <c r="K2046" s="9"/>
      <c r="L2046" s="9"/>
      <c r="M2046" s="9"/>
      <c r="N2046" s="9"/>
      <c r="O2046" s="9"/>
      <c r="P2046" s="9"/>
    </row>
    <row r="2047" spans="2:16" x14ac:dyDescent="0.2">
      <c r="B2047" s="9"/>
      <c r="C2047" s="9"/>
      <c r="D2047" s="9"/>
      <c r="E2047" s="9"/>
      <c r="F2047" s="9"/>
      <c r="G2047" s="9"/>
      <c r="H2047" s="9"/>
      <c r="I2047" s="9"/>
      <c r="J2047" s="9"/>
      <c r="K2047" s="9"/>
      <c r="L2047" s="9"/>
      <c r="M2047" s="9"/>
      <c r="N2047" s="9"/>
      <c r="O2047" s="9"/>
      <c r="P2047" s="9"/>
    </row>
    <row r="2048" spans="2:16" x14ac:dyDescent="0.2">
      <c r="B2048" s="9"/>
      <c r="C2048" s="9"/>
      <c r="D2048" s="9"/>
      <c r="E2048" s="9"/>
      <c r="F2048" s="9"/>
      <c r="G2048" s="9"/>
      <c r="H2048" s="9"/>
      <c r="I2048" s="9"/>
      <c r="J2048" s="9"/>
      <c r="K2048" s="9"/>
      <c r="L2048" s="9"/>
      <c r="M2048" s="9"/>
      <c r="N2048" s="9"/>
      <c r="O2048" s="9"/>
      <c r="P2048" s="9"/>
    </row>
    <row r="2049" spans="2:16" x14ac:dyDescent="0.2">
      <c r="B2049" s="9"/>
      <c r="C2049" s="9"/>
      <c r="D2049" s="9"/>
      <c r="E2049" s="9"/>
      <c r="F2049" s="9"/>
      <c r="G2049" s="9"/>
      <c r="H2049" s="9"/>
      <c r="I2049" s="9"/>
      <c r="J2049" s="9"/>
      <c r="K2049" s="9"/>
      <c r="L2049" s="9"/>
      <c r="M2049" s="9"/>
      <c r="N2049" s="9"/>
      <c r="O2049" s="9"/>
      <c r="P2049" s="9"/>
    </row>
    <row r="2050" spans="2:16" x14ac:dyDescent="0.2">
      <c r="B2050" s="9"/>
      <c r="C2050" s="9"/>
      <c r="D2050" s="9"/>
      <c r="E2050" s="9"/>
      <c r="F2050" s="9"/>
      <c r="G2050" s="9"/>
      <c r="H2050" s="9"/>
      <c r="I2050" s="9"/>
      <c r="J2050" s="9"/>
      <c r="K2050" s="9"/>
      <c r="L2050" s="9"/>
      <c r="M2050" s="9"/>
      <c r="N2050" s="9"/>
      <c r="O2050" s="9"/>
      <c r="P2050" s="9"/>
    </row>
    <row r="2051" spans="2:16" x14ac:dyDescent="0.2">
      <c r="B2051" s="9"/>
      <c r="C2051" s="9"/>
      <c r="D2051" s="9"/>
      <c r="E2051" s="9"/>
      <c r="F2051" s="9"/>
      <c r="G2051" s="9"/>
      <c r="H2051" s="9"/>
      <c r="I2051" s="9"/>
      <c r="J2051" s="9"/>
      <c r="K2051" s="9"/>
      <c r="L2051" s="9"/>
      <c r="M2051" s="9"/>
      <c r="N2051" s="9"/>
      <c r="O2051" s="9"/>
      <c r="P2051" s="9"/>
    </row>
    <row r="2052" spans="2:16" x14ac:dyDescent="0.2">
      <c r="B2052" s="9"/>
      <c r="C2052" s="9"/>
      <c r="D2052" s="9"/>
      <c r="E2052" s="9"/>
      <c r="F2052" s="9"/>
      <c r="G2052" s="9"/>
      <c r="H2052" s="9"/>
      <c r="I2052" s="9"/>
      <c r="J2052" s="9"/>
      <c r="K2052" s="9"/>
      <c r="L2052" s="9"/>
      <c r="M2052" s="9"/>
      <c r="N2052" s="9"/>
      <c r="O2052" s="9"/>
      <c r="P2052" s="9"/>
    </row>
    <row r="2053" spans="2:16" x14ac:dyDescent="0.2">
      <c r="B2053" s="9"/>
      <c r="C2053" s="9"/>
      <c r="D2053" s="9"/>
      <c r="E2053" s="9"/>
      <c r="F2053" s="9"/>
      <c r="G2053" s="9"/>
      <c r="H2053" s="9"/>
      <c r="I2053" s="9"/>
      <c r="J2053" s="9"/>
      <c r="K2053" s="9"/>
      <c r="L2053" s="9"/>
      <c r="M2053" s="9"/>
      <c r="N2053" s="9"/>
      <c r="O2053" s="9"/>
      <c r="P2053" s="9"/>
    </row>
    <row r="2054" spans="2:16" x14ac:dyDescent="0.2">
      <c r="B2054" s="9"/>
      <c r="C2054" s="9"/>
      <c r="D2054" s="9"/>
      <c r="E2054" s="9"/>
      <c r="F2054" s="9"/>
      <c r="G2054" s="9"/>
      <c r="H2054" s="9"/>
      <c r="I2054" s="9"/>
      <c r="J2054" s="9"/>
      <c r="K2054" s="9"/>
      <c r="L2054" s="9"/>
      <c r="M2054" s="9"/>
      <c r="N2054" s="9"/>
      <c r="O2054" s="9"/>
      <c r="P2054" s="9"/>
    </row>
    <row r="2055" spans="2:16" x14ac:dyDescent="0.2">
      <c r="B2055" s="9"/>
      <c r="C2055" s="9"/>
      <c r="D2055" s="9"/>
      <c r="E2055" s="9"/>
      <c r="F2055" s="9"/>
      <c r="G2055" s="9"/>
      <c r="H2055" s="9"/>
      <c r="I2055" s="9"/>
      <c r="J2055" s="9"/>
      <c r="K2055" s="9"/>
      <c r="L2055" s="9"/>
      <c r="M2055" s="9"/>
      <c r="N2055" s="9"/>
      <c r="O2055" s="9"/>
      <c r="P2055" s="9"/>
    </row>
    <row r="2056" spans="2:16" x14ac:dyDescent="0.2">
      <c r="B2056" s="9"/>
      <c r="C2056" s="9"/>
      <c r="D2056" s="9"/>
      <c r="E2056" s="9"/>
      <c r="F2056" s="9"/>
      <c r="G2056" s="9"/>
      <c r="H2056" s="9"/>
      <c r="I2056" s="9"/>
      <c r="J2056" s="9"/>
      <c r="K2056" s="9"/>
      <c r="L2056" s="9"/>
      <c r="M2056" s="9"/>
      <c r="N2056" s="9"/>
      <c r="O2056" s="9"/>
      <c r="P2056" s="9"/>
    </row>
    <row r="2057" spans="2:16" x14ac:dyDescent="0.2">
      <c r="B2057" s="9"/>
      <c r="C2057" s="9"/>
      <c r="D2057" s="9"/>
      <c r="E2057" s="9"/>
      <c r="F2057" s="9"/>
      <c r="G2057" s="9"/>
      <c r="H2057" s="9"/>
      <c r="I2057" s="9"/>
      <c r="J2057" s="9"/>
      <c r="K2057" s="9"/>
      <c r="L2057" s="9"/>
      <c r="M2057" s="9"/>
      <c r="N2057" s="9"/>
      <c r="O2057" s="9"/>
      <c r="P2057" s="9"/>
    </row>
    <row r="2058" spans="2:16" x14ac:dyDescent="0.2">
      <c r="B2058" s="9"/>
      <c r="C2058" s="9"/>
      <c r="D2058" s="9"/>
      <c r="E2058" s="9"/>
      <c r="F2058" s="9"/>
      <c r="G2058" s="9"/>
      <c r="H2058" s="9"/>
      <c r="I2058" s="9"/>
      <c r="J2058" s="9"/>
      <c r="K2058" s="9"/>
      <c r="L2058" s="9"/>
      <c r="M2058" s="9"/>
      <c r="N2058" s="9"/>
      <c r="O2058" s="9"/>
      <c r="P2058" s="9"/>
    </row>
    <row r="2059" spans="2:16" x14ac:dyDescent="0.2">
      <c r="B2059" s="9"/>
      <c r="C2059" s="9"/>
      <c r="D2059" s="9"/>
      <c r="E2059" s="9"/>
      <c r="F2059" s="9"/>
      <c r="G2059" s="9"/>
      <c r="H2059" s="9"/>
      <c r="I2059" s="9"/>
      <c r="J2059" s="9"/>
      <c r="K2059" s="9"/>
      <c r="L2059" s="9"/>
      <c r="M2059" s="9"/>
      <c r="N2059" s="9"/>
      <c r="O2059" s="9"/>
      <c r="P2059" s="9"/>
    </row>
    <row r="2060" spans="2:16" x14ac:dyDescent="0.2">
      <c r="B2060" s="9"/>
      <c r="C2060" s="9"/>
      <c r="D2060" s="9"/>
      <c r="E2060" s="9"/>
      <c r="F2060" s="9"/>
      <c r="G2060" s="9"/>
      <c r="H2060" s="9"/>
      <c r="I2060" s="9"/>
      <c r="J2060" s="9"/>
      <c r="K2060" s="9"/>
      <c r="L2060" s="9"/>
      <c r="M2060" s="9"/>
      <c r="N2060" s="9"/>
      <c r="O2060" s="9"/>
      <c r="P2060" s="9"/>
    </row>
    <row r="2061" spans="2:16" x14ac:dyDescent="0.2">
      <c r="B2061" s="9"/>
      <c r="C2061" s="9"/>
      <c r="D2061" s="9"/>
      <c r="E2061" s="9"/>
      <c r="F2061" s="9"/>
      <c r="G2061" s="9"/>
      <c r="H2061" s="9"/>
      <c r="I2061" s="9"/>
      <c r="J2061" s="9"/>
      <c r="K2061" s="9"/>
      <c r="L2061" s="9"/>
      <c r="M2061" s="9"/>
      <c r="N2061" s="9"/>
      <c r="O2061" s="9"/>
      <c r="P2061" s="9"/>
    </row>
    <row r="2062" spans="2:16" x14ac:dyDescent="0.2">
      <c r="B2062" s="9"/>
      <c r="C2062" s="9"/>
      <c r="D2062" s="9"/>
      <c r="E2062" s="9"/>
      <c r="F2062" s="9"/>
      <c r="G2062" s="9"/>
      <c r="H2062" s="9"/>
      <c r="I2062" s="9"/>
      <c r="J2062" s="9"/>
      <c r="K2062" s="9"/>
      <c r="L2062" s="9"/>
      <c r="M2062" s="9"/>
      <c r="N2062" s="9"/>
      <c r="O2062" s="9"/>
      <c r="P2062" s="9"/>
    </row>
    <row r="2063" spans="2:16" x14ac:dyDescent="0.2">
      <c r="B2063" s="9"/>
      <c r="C2063" s="9"/>
      <c r="D2063" s="9"/>
      <c r="E2063" s="9"/>
      <c r="F2063" s="9"/>
      <c r="G2063" s="9"/>
      <c r="H2063" s="9"/>
      <c r="I2063" s="9"/>
      <c r="J2063" s="9"/>
      <c r="K2063" s="9"/>
      <c r="L2063" s="9"/>
      <c r="M2063" s="9"/>
      <c r="N2063" s="9"/>
      <c r="O2063" s="9"/>
      <c r="P2063" s="9"/>
    </row>
    <row r="2064" spans="2:16" x14ac:dyDescent="0.2">
      <c r="B2064" s="9"/>
      <c r="C2064" s="9"/>
      <c r="D2064" s="9"/>
      <c r="E2064" s="9"/>
      <c r="F2064" s="9"/>
      <c r="G2064" s="9"/>
      <c r="H2064" s="9"/>
      <c r="I2064" s="9"/>
      <c r="J2064" s="9"/>
      <c r="K2064" s="9"/>
      <c r="L2064" s="9"/>
      <c r="M2064" s="9"/>
      <c r="N2064" s="9"/>
      <c r="O2064" s="9"/>
      <c r="P2064" s="9"/>
    </row>
    <row r="2065" spans="2:16" x14ac:dyDescent="0.2">
      <c r="B2065" s="9"/>
      <c r="C2065" s="9"/>
      <c r="D2065" s="9"/>
      <c r="E2065" s="9"/>
      <c r="F2065" s="9"/>
      <c r="G2065" s="9"/>
      <c r="H2065" s="9"/>
      <c r="I2065" s="9"/>
      <c r="J2065" s="9"/>
      <c r="K2065" s="9"/>
      <c r="L2065" s="9"/>
      <c r="M2065" s="9"/>
      <c r="N2065" s="9"/>
      <c r="O2065" s="9"/>
      <c r="P2065" s="9"/>
    </row>
    <row r="2066" spans="2:16" x14ac:dyDescent="0.2">
      <c r="B2066" s="9"/>
      <c r="C2066" s="9"/>
      <c r="D2066" s="9"/>
      <c r="E2066" s="9"/>
      <c r="F2066" s="9"/>
      <c r="G2066" s="9"/>
      <c r="H2066" s="9"/>
      <c r="I2066" s="9"/>
      <c r="J2066" s="9"/>
      <c r="K2066" s="9"/>
      <c r="L2066" s="9"/>
      <c r="M2066" s="9"/>
      <c r="N2066" s="9"/>
      <c r="O2066" s="9"/>
      <c r="P2066" s="9"/>
    </row>
    <row r="2067" spans="2:16" x14ac:dyDescent="0.2">
      <c r="B2067" s="9"/>
      <c r="C2067" s="9"/>
      <c r="D2067" s="9"/>
      <c r="E2067" s="9"/>
      <c r="F2067" s="9"/>
      <c r="G2067" s="9"/>
      <c r="H2067" s="9"/>
      <c r="I2067" s="9"/>
      <c r="J2067" s="9"/>
      <c r="K2067" s="9"/>
      <c r="L2067" s="9"/>
      <c r="M2067" s="9"/>
      <c r="N2067" s="9"/>
      <c r="O2067" s="9"/>
      <c r="P2067" s="9"/>
    </row>
    <row r="2068" spans="2:16" x14ac:dyDescent="0.2">
      <c r="B2068" s="9"/>
      <c r="C2068" s="9"/>
      <c r="D2068" s="9"/>
      <c r="E2068" s="9"/>
      <c r="F2068" s="9"/>
      <c r="G2068" s="9"/>
      <c r="H2068" s="9"/>
      <c r="I2068" s="9"/>
      <c r="J2068" s="9"/>
      <c r="K2068" s="9"/>
      <c r="L2068" s="9"/>
      <c r="M2068" s="9"/>
      <c r="N2068" s="9"/>
      <c r="O2068" s="9"/>
      <c r="P2068" s="9"/>
    </row>
    <row r="2069" spans="2:16" x14ac:dyDescent="0.2">
      <c r="B2069" s="9"/>
      <c r="C2069" s="9"/>
      <c r="D2069" s="9"/>
      <c r="E2069" s="9"/>
      <c r="F2069" s="9"/>
      <c r="G2069" s="9"/>
      <c r="H2069" s="9"/>
      <c r="I2069" s="9"/>
      <c r="J2069" s="9"/>
      <c r="K2069" s="9"/>
      <c r="L2069" s="9"/>
      <c r="M2069" s="9"/>
      <c r="N2069" s="9"/>
      <c r="O2069" s="9"/>
      <c r="P2069" s="9"/>
    </row>
    <row r="2070" spans="2:16" x14ac:dyDescent="0.2">
      <c r="B2070" s="9"/>
      <c r="C2070" s="9"/>
      <c r="D2070" s="9"/>
      <c r="E2070" s="9"/>
      <c r="F2070" s="9"/>
      <c r="G2070" s="9"/>
      <c r="H2070" s="9"/>
      <c r="I2070" s="9"/>
      <c r="J2070" s="9"/>
      <c r="K2070" s="9"/>
      <c r="L2070" s="9"/>
      <c r="M2070" s="9"/>
      <c r="N2070" s="9"/>
      <c r="O2070" s="9"/>
      <c r="P2070" s="9"/>
    </row>
    <row r="2071" spans="2:16" x14ac:dyDescent="0.2">
      <c r="B2071" s="9"/>
      <c r="C2071" s="9"/>
      <c r="D2071" s="9"/>
      <c r="E2071" s="9"/>
      <c r="F2071" s="9"/>
      <c r="G2071" s="9"/>
      <c r="H2071" s="9"/>
      <c r="I2071" s="9"/>
      <c r="J2071" s="9"/>
      <c r="K2071" s="9"/>
      <c r="L2071" s="9"/>
      <c r="M2071" s="9"/>
      <c r="N2071" s="9"/>
      <c r="O2071" s="9"/>
      <c r="P2071" s="9"/>
    </row>
    <row r="2072" spans="2:16" x14ac:dyDescent="0.2">
      <c r="B2072" s="9"/>
      <c r="C2072" s="9"/>
      <c r="D2072" s="9"/>
      <c r="E2072" s="9"/>
      <c r="F2072" s="9"/>
      <c r="G2072" s="9"/>
      <c r="H2072" s="9"/>
      <c r="I2072" s="9"/>
      <c r="J2072" s="9"/>
      <c r="K2072" s="9"/>
      <c r="L2072" s="9"/>
      <c r="M2072" s="9"/>
      <c r="N2072" s="9"/>
      <c r="O2072" s="9"/>
      <c r="P2072" s="9"/>
    </row>
    <row r="2073" spans="2:16" x14ac:dyDescent="0.2">
      <c r="B2073" s="9"/>
      <c r="C2073" s="9"/>
      <c r="D2073" s="9"/>
      <c r="E2073" s="9"/>
      <c r="F2073" s="9"/>
      <c r="G2073" s="9"/>
      <c r="H2073" s="9"/>
      <c r="I2073" s="9"/>
      <c r="J2073" s="9"/>
      <c r="K2073" s="9"/>
      <c r="L2073" s="9"/>
      <c r="M2073" s="9"/>
      <c r="N2073" s="9"/>
      <c r="O2073" s="9"/>
      <c r="P2073" s="9"/>
    </row>
    <row r="2074" spans="2:16" x14ac:dyDescent="0.2">
      <c r="B2074" s="9"/>
      <c r="C2074" s="9"/>
      <c r="D2074" s="9"/>
      <c r="E2074" s="9"/>
      <c r="F2074" s="9"/>
      <c r="G2074" s="9"/>
      <c r="H2074" s="9"/>
      <c r="I2074" s="9"/>
      <c r="J2074" s="9"/>
      <c r="K2074" s="9"/>
      <c r="L2074" s="9"/>
      <c r="M2074" s="9"/>
      <c r="N2074" s="9"/>
      <c r="O2074" s="9"/>
      <c r="P2074" s="9"/>
    </row>
    <row r="2075" spans="2:16" x14ac:dyDescent="0.2">
      <c r="B2075" s="9"/>
      <c r="C2075" s="9"/>
      <c r="D2075" s="9"/>
      <c r="E2075" s="9"/>
      <c r="F2075" s="9"/>
      <c r="G2075" s="9"/>
      <c r="H2075" s="9"/>
      <c r="I2075" s="9"/>
      <c r="J2075" s="9"/>
      <c r="K2075" s="9"/>
      <c r="L2075" s="9"/>
      <c r="M2075" s="9"/>
      <c r="N2075" s="9"/>
      <c r="O2075" s="9"/>
      <c r="P2075" s="9"/>
    </row>
    <row r="2076" spans="2:16" x14ac:dyDescent="0.2">
      <c r="B2076" s="9"/>
      <c r="C2076" s="9"/>
      <c r="D2076" s="9"/>
      <c r="E2076" s="9"/>
      <c r="F2076" s="9"/>
      <c r="G2076" s="9"/>
      <c r="H2076" s="9"/>
      <c r="I2076" s="9"/>
      <c r="J2076" s="9"/>
      <c r="K2076" s="9"/>
      <c r="L2076" s="9"/>
      <c r="M2076" s="9"/>
      <c r="N2076" s="9"/>
      <c r="O2076" s="9"/>
      <c r="P2076" s="9"/>
    </row>
    <row r="2077" spans="2:16" x14ac:dyDescent="0.2">
      <c r="B2077" s="9"/>
      <c r="C2077" s="9"/>
      <c r="D2077" s="9"/>
      <c r="E2077" s="9"/>
      <c r="F2077" s="9"/>
      <c r="G2077" s="9"/>
      <c r="H2077" s="9"/>
      <c r="I2077" s="9"/>
      <c r="J2077" s="9"/>
      <c r="K2077" s="9"/>
      <c r="L2077" s="9"/>
      <c r="M2077" s="9"/>
      <c r="N2077" s="9"/>
      <c r="O2077" s="9"/>
      <c r="P2077" s="9"/>
    </row>
    <row r="2078" spans="2:16" x14ac:dyDescent="0.2">
      <c r="B2078" s="9"/>
      <c r="C2078" s="9"/>
      <c r="D2078" s="9"/>
      <c r="E2078" s="9"/>
      <c r="F2078" s="9"/>
      <c r="G2078" s="9"/>
      <c r="H2078" s="9"/>
      <c r="I2078" s="9"/>
      <c r="J2078" s="9"/>
      <c r="K2078" s="9"/>
      <c r="L2078" s="9"/>
      <c r="M2078" s="9"/>
      <c r="N2078" s="9"/>
      <c r="O2078" s="9"/>
      <c r="P2078" s="9"/>
    </row>
    <row r="2079" spans="2:16" x14ac:dyDescent="0.2">
      <c r="B2079" s="9"/>
      <c r="C2079" s="9"/>
      <c r="D2079" s="9"/>
      <c r="E2079" s="9"/>
      <c r="F2079" s="9"/>
      <c r="G2079" s="9"/>
      <c r="H2079" s="9"/>
      <c r="I2079" s="9"/>
      <c r="J2079" s="9"/>
      <c r="K2079" s="9"/>
      <c r="L2079" s="9"/>
      <c r="M2079" s="9"/>
      <c r="N2079" s="9"/>
      <c r="O2079" s="9"/>
      <c r="P2079" s="9"/>
    </row>
    <row r="2080" spans="2:16" x14ac:dyDescent="0.2">
      <c r="B2080" s="9"/>
      <c r="C2080" s="9"/>
      <c r="D2080" s="9"/>
      <c r="E2080" s="9"/>
      <c r="F2080" s="9"/>
      <c r="G2080" s="9"/>
      <c r="H2080" s="9"/>
      <c r="I2080" s="9"/>
      <c r="J2080" s="9"/>
      <c r="K2080" s="9"/>
      <c r="L2080" s="9"/>
      <c r="M2080" s="9"/>
      <c r="N2080" s="9"/>
      <c r="O2080" s="9"/>
      <c r="P2080" s="9"/>
    </row>
    <row r="2081" spans="2:16" x14ac:dyDescent="0.2">
      <c r="B2081" s="9"/>
      <c r="C2081" s="9"/>
      <c r="D2081" s="9"/>
      <c r="E2081" s="9"/>
      <c r="F2081" s="9"/>
      <c r="G2081" s="9"/>
      <c r="H2081" s="9"/>
      <c r="I2081" s="9"/>
      <c r="J2081" s="9"/>
      <c r="K2081" s="9"/>
      <c r="L2081" s="9"/>
      <c r="M2081" s="9"/>
      <c r="N2081" s="9"/>
      <c r="O2081" s="9"/>
      <c r="P2081" s="9"/>
    </row>
    <row r="2082" spans="2:16" x14ac:dyDescent="0.2">
      <c r="B2082" s="9"/>
      <c r="C2082" s="9"/>
      <c r="D2082" s="9"/>
      <c r="E2082" s="9"/>
      <c r="F2082" s="9"/>
      <c r="G2082" s="9"/>
      <c r="H2082" s="9"/>
      <c r="I2082" s="9"/>
      <c r="J2082" s="9"/>
      <c r="K2082" s="9"/>
      <c r="L2082" s="9"/>
      <c r="M2082" s="9"/>
      <c r="N2082" s="9"/>
      <c r="O2082" s="9"/>
      <c r="P2082" s="9"/>
    </row>
    <row r="2083" spans="2:16" x14ac:dyDescent="0.2">
      <c r="B2083" s="9"/>
      <c r="C2083" s="9"/>
      <c r="D2083" s="9"/>
      <c r="E2083" s="9"/>
      <c r="F2083" s="9"/>
      <c r="G2083" s="9"/>
      <c r="H2083" s="9"/>
      <c r="I2083" s="9"/>
      <c r="J2083" s="9"/>
      <c r="K2083" s="9"/>
      <c r="L2083" s="9"/>
      <c r="M2083" s="9"/>
      <c r="N2083" s="9"/>
      <c r="O2083" s="9"/>
      <c r="P2083" s="9"/>
    </row>
    <row r="2084" spans="2:16" x14ac:dyDescent="0.2">
      <c r="B2084" s="9"/>
      <c r="C2084" s="9"/>
      <c r="D2084" s="9"/>
      <c r="E2084" s="9"/>
      <c r="F2084" s="9"/>
      <c r="G2084" s="9"/>
      <c r="H2084" s="9"/>
      <c r="I2084" s="9"/>
      <c r="J2084" s="9"/>
      <c r="K2084" s="9"/>
      <c r="L2084" s="9"/>
      <c r="M2084" s="9"/>
      <c r="N2084" s="9"/>
      <c r="O2084" s="9"/>
      <c r="P2084" s="9"/>
    </row>
    <row r="2085" spans="2:16" x14ac:dyDescent="0.2">
      <c r="B2085" s="9"/>
      <c r="C2085" s="9"/>
      <c r="D2085" s="9"/>
      <c r="E2085" s="9"/>
      <c r="F2085" s="9"/>
      <c r="G2085" s="9"/>
      <c r="H2085" s="9"/>
      <c r="I2085" s="9"/>
      <c r="J2085" s="9"/>
      <c r="K2085" s="9"/>
      <c r="L2085" s="9"/>
      <c r="M2085" s="9"/>
      <c r="N2085" s="9"/>
      <c r="O2085" s="9"/>
      <c r="P2085" s="9"/>
    </row>
    <row r="2086" spans="2:16" x14ac:dyDescent="0.2">
      <c r="B2086" s="9"/>
      <c r="C2086" s="9"/>
      <c r="D2086" s="9"/>
      <c r="E2086" s="9"/>
      <c r="F2086" s="9"/>
      <c r="G2086" s="9"/>
      <c r="H2086" s="9"/>
      <c r="I2086" s="9"/>
      <c r="J2086" s="9"/>
      <c r="K2086" s="9"/>
      <c r="L2086" s="9"/>
      <c r="M2086" s="9"/>
      <c r="N2086" s="9"/>
      <c r="O2086" s="9"/>
      <c r="P2086" s="9"/>
    </row>
    <row r="2087" spans="2:16" x14ac:dyDescent="0.2">
      <c r="B2087" s="9"/>
      <c r="C2087" s="9"/>
      <c r="D2087" s="9"/>
      <c r="E2087" s="9"/>
      <c r="F2087" s="9"/>
      <c r="G2087" s="9"/>
      <c r="H2087" s="9"/>
      <c r="I2087" s="9"/>
      <c r="J2087" s="9"/>
      <c r="K2087" s="9"/>
      <c r="L2087" s="9"/>
      <c r="M2087" s="9"/>
      <c r="N2087" s="9"/>
      <c r="O2087" s="9"/>
      <c r="P2087" s="9"/>
    </row>
    <row r="2088" spans="2:16" x14ac:dyDescent="0.2">
      <c r="B2088" s="9"/>
      <c r="C2088" s="9"/>
      <c r="D2088" s="9"/>
      <c r="E2088" s="9"/>
      <c r="F2088" s="9"/>
      <c r="G2088" s="9"/>
      <c r="H2088" s="9"/>
      <c r="I2088" s="9"/>
      <c r="J2088" s="9"/>
      <c r="K2088" s="9"/>
      <c r="L2088" s="9"/>
      <c r="M2088" s="9"/>
      <c r="N2088" s="9"/>
      <c r="O2088" s="9"/>
      <c r="P2088" s="9"/>
    </row>
    <row r="2089" spans="2:16" x14ac:dyDescent="0.2">
      <c r="B2089" s="9"/>
      <c r="C2089" s="9"/>
      <c r="D2089" s="9"/>
      <c r="E2089" s="9"/>
      <c r="F2089" s="9"/>
      <c r="G2089" s="9"/>
      <c r="H2089" s="9"/>
      <c r="I2089" s="9"/>
      <c r="J2089" s="9"/>
      <c r="K2089" s="9"/>
      <c r="L2089" s="9"/>
      <c r="M2089" s="9"/>
      <c r="N2089" s="9"/>
      <c r="O2089" s="9"/>
      <c r="P2089" s="9"/>
    </row>
    <row r="2090" spans="2:16" x14ac:dyDescent="0.2">
      <c r="B2090" s="9"/>
      <c r="C2090" s="9"/>
      <c r="D2090" s="9"/>
      <c r="E2090" s="9"/>
      <c r="F2090" s="9"/>
      <c r="G2090" s="9"/>
      <c r="H2090" s="9"/>
      <c r="I2090" s="9"/>
      <c r="J2090" s="9"/>
      <c r="K2090" s="9"/>
      <c r="L2090" s="9"/>
      <c r="M2090" s="9"/>
      <c r="N2090" s="9"/>
      <c r="O2090" s="9"/>
      <c r="P2090" s="9"/>
    </row>
    <row r="2091" spans="2:16" x14ac:dyDescent="0.2">
      <c r="B2091" s="9"/>
      <c r="C2091" s="9"/>
      <c r="D2091" s="9"/>
      <c r="E2091" s="9"/>
      <c r="F2091" s="9"/>
      <c r="G2091" s="9"/>
      <c r="H2091" s="9"/>
      <c r="I2091" s="9"/>
      <c r="J2091" s="9"/>
      <c r="K2091" s="9"/>
      <c r="L2091" s="9"/>
      <c r="M2091" s="9"/>
      <c r="N2091" s="9"/>
      <c r="O2091" s="9"/>
      <c r="P2091" s="9"/>
    </row>
    <row r="2092" spans="2:16" x14ac:dyDescent="0.2">
      <c r="B2092" s="9"/>
      <c r="C2092" s="9"/>
      <c r="D2092" s="9"/>
      <c r="E2092" s="9"/>
      <c r="F2092" s="9"/>
      <c r="G2092" s="9"/>
      <c r="H2092" s="9"/>
      <c r="I2092" s="9"/>
      <c r="J2092" s="9"/>
      <c r="K2092" s="9"/>
      <c r="L2092" s="9"/>
      <c r="M2092" s="9"/>
      <c r="N2092" s="9"/>
      <c r="O2092" s="9"/>
      <c r="P2092" s="9"/>
    </row>
    <row r="2093" spans="2:16" x14ac:dyDescent="0.2">
      <c r="B2093" s="9"/>
      <c r="C2093" s="9"/>
      <c r="D2093" s="9"/>
      <c r="E2093" s="9"/>
      <c r="F2093" s="9"/>
      <c r="G2093" s="9"/>
      <c r="H2093" s="9"/>
      <c r="I2093" s="9"/>
      <c r="J2093" s="9"/>
      <c r="K2093" s="9"/>
      <c r="L2093" s="9"/>
      <c r="M2093" s="9"/>
      <c r="N2093" s="9"/>
      <c r="O2093" s="9"/>
      <c r="P2093" s="9"/>
    </row>
    <row r="2094" spans="2:16" x14ac:dyDescent="0.2">
      <c r="B2094" s="9"/>
      <c r="C2094" s="9"/>
      <c r="D2094" s="9"/>
      <c r="E2094" s="9"/>
      <c r="F2094" s="9"/>
      <c r="G2094" s="9"/>
      <c r="H2094" s="9"/>
      <c r="I2094" s="9"/>
      <c r="J2094" s="9"/>
      <c r="K2094" s="9"/>
      <c r="L2094" s="9"/>
      <c r="M2094" s="9"/>
      <c r="N2094" s="9"/>
      <c r="O2094" s="9"/>
      <c r="P2094" s="9"/>
    </row>
    <row r="2095" spans="2:16" x14ac:dyDescent="0.2">
      <c r="B2095" s="9"/>
      <c r="C2095" s="9"/>
      <c r="D2095" s="9"/>
      <c r="E2095" s="9"/>
      <c r="F2095" s="9"/>
      <c r="G2095" s="9"/>
      <c r="H2095" s="9"/>
      <c r="I2095" s="9"/>
      <c r="J2095" s="9"/>
      <c r="K2095" s="9"/>
      <c r="L2095" s="9"/>
      <c r="M2095" s="9"/>
      <c r="N2095" s="9"/>
      <c r="O2095" s="9"/>
      <c r="P2095" s="9"/>
    </row>
    <row r="2096" spans="2:16" x14ac:dyDescent="0.2">
      <c r="B2096" s="9"/>
      <c r="C2096" s="9"/>
      <c r="D2096" s="9"/>
      <c r="E2096" s="9"/>
      <c r="F2096" s="9"/>
      <c r="G2096" s="9"/>
      <c r="H2096" s="9"/>
      <c r="I2096" s="9"/>
      <c r="J2096" s="9"/>
      <c r="K2096" s="9"/>
      <c r="L2096" s="9"/>
      <c r="M2096" s="9"/>
      <c r="N2096" s="9"/>
      <c r="O2096" s="9"/>
      <c r="P2096" s="9"/>
    </row>
    <row r="2097" spans="2:16" x14ac:dyDescent="0.2">
      <c r="B2097" s="9"/>
      <c r="C2097" s="9"/>
      <c r="D2097" s="9"/>
      <c r="E2097" s="9"/>
      <c r="F2097" s="9"/>
      <c r="G2097" s="9"/>
      <c r="H2097" s="9"/>
      <c r="I2097" s="9"/>
      <c r="J2097" s="9"/>
      <c r="K2097" s="9"/>
      <c r="L2097" s="9"/>
      <c r="M2097" s="9"/>
      <c r="N2097" s="9"/>
      <c r="O2097" s="9"/>
      <c r="P2097" s="9"/>
    </row>
    <row r="2098" spans="2:16" x14ac:dyDescent="0.2">
      <c r="B2098" s="9"/>
      <c r="C2098" s="9"/>
      <c r="D2098" s="9"/>
      <c r="E2098" s="9"/>
      <c r="F2098" s="9"/>
      <c r="G2098" s="9"/>
      <c r="H2098" s="9"/>
      <c r="I2098" s="9"/>
      <c r="J2098" s="9"/>
      <c r="K2098" s="9"/>
      <c r="L2098" s="9"/>
      <c r="M2098" s="9"/>
      <c r="N2098" s="9"/>
      <c r="O2098" s="9"/>
      <c r="P2098" s="9"/>
    </row>
    <row r="2099" spans="2:16" x14ac:dyDescent="0.2">
      <c r="B2099" s="9"/>
      <c r="C2099" s="9"/>
      <c r="D2099" s="9"/>
      <c r="E2099" s="9"/>
      <c r="F2099" s="9"/>
      <c r="G2099" s="9"/>
      <c r="H2099" s="9"/>
      <c r="I2099" s="9"/>
      <c r="J2099" s="9"/>
      <c r="K2099" s="9"/>
      <c r="L2099" s="9"/>
      <c r="M2099" s="9"/>
      <c r="N2099" s="9"/>
      <c r="O2099" s="9"/>
      <c r="P2099" s="9"/>
    </row>
    <row r="2100" spans="2:16" x14ac:dyDescent="0.2">
      <c r="B2100" s="9"/>
      <c r="C2100" s="9"/>
      <c r="D2100" s="9"/>
      <c r="E2100" s="9"/>
      <c r="F2100" s="9"/>
      <c r="G2100" s="9"/>
      <c r="H2100" s="9"/>
      <c r="I2100" s="9"/>
      <c r="J2100" s="9"/>
      <c r="K2100" s="9"/>
      <c r="L2100" s="9"/>
      <c r="M2100" s="9"/>
      <c r="N2100" s="9"/>
      <c r="O2100" s="9"/>
      <c r="P2100" s="9"/>
    </row>
    <row r="2101" spans="2:16" x14ac:dyDescent="0.2">
      <c r="B2101" s="9"/>
      <c r="C2101" s="9"/>
      <c r="D2101" s="9"/>
      <c r="E2101" s="9"/>
      <c r="F2101" s="9"/>
      <c r="G2101" s="9"/>
      <c r="H2101" s="9"/>
      <c r="I2101" s="9"/>
      <c r="J2101" s="9"/>
      <c r="K2101" s="9"/>
      <c r="L2101" s="9"/>
      <c r="M2101" s="9"/>
      <c r="N2101" s="9"/>
      <c r="O2101" s="9"/>
      <c r="P2101" s="9"/>
    </row>
    <row r="2102" spans="2:16" x14ac:dyDescent="0.2">
      <c r="B2102" s="9"/>
      <c r="C2102" s="9"/>
      <c r="D2102" s="9"/>
      <c r="E2102" s="9"/>
      <c r="F2102" s="9"/>
      <c r="G2102" s="9"/>
      <c r="H2102" s="9"/>
      <c r="I2102" s="9"/>
      <c r="J2102" s="9"/>
      <c r="K2102" s="9"/>
      <c r="L2102" s="9"/>
      <c r="M2102" s="9"/>
      <c r="N2102" s="9"/>
      <c r="O2102" s="9"/>
      <c r="P2102" s="9"/>
    </row>
    <row r="2103" spans="2:16" x14ac:dyDescent="0.2">
      <c r="B2103" s="9"/>
      <c r="C2103" s="9"/>
      <c r="D2103" s="9"/>
      <c r="E2103" s="9"/>
      <c r="F2103" s="9"/>
      <c r="G2103" s="9"/>
      <c r="H2103" s="9"/>
      <c r="I2103" s="9"/>
      <c r="J2103" s="9"/>
      <c r="K2103" s="9"/>
      <c r="L2103" s="9"/>
      <c r="M2103" s="9"/>
      <c r="N2103" s="9"/>
      <c r="O2103" s="9"/>
      <c r="P2103" s="9"/>
    </row>
    <row r="2104" spans="2:16" x14ac:dyDescent="0.2">
      <c r="B2104" s="9"/>
      <c r="C2104" s="9"/>
      <c r="D2104" s="9"/>
      <c r="E2104" s="9"/>
      <c r="F2104" s="9"/>
      <c r="G2104" s="9"/>
      <c r="H2104" s="9"/>
      <c r="I2104" s="9"/>
      <c r="J2104" s="9"/>
      <c r="K2104" s="9"/>
      <c r="L2104" s="9"/>
      <c r="M2104" s="9"/>
      <c r="N2104" s="9"/>
      <c r="O2104" s="9"/>
      <c r="P2104" s="9"/>
    </row>
    <row r="2105" spans="2:16" x14ac:dyDescent="0.2">
      <c r="B2105" s="9"/>
      <c r="C2105" s="9"/>
      <c r="D2105" s="9"/>
      <c r="E2105" s="9"/>
      <c r="F2105" s="9"/>
      <c r="G2105" s="9"/>
      <c r="H2105" s="9"/>
      <c r="I2105" s="9"/>
      <c r="J2105" s="9"/>
      <c r="K2105" s="9"/>
      <c r="L2105" s="9"/>
      <c r="M2105" s="9"/>
      <c r="N2105" s="9"/>
      <c r="O2105" s="9"/>
      <c r="P2105" s="9"/>
    </row>
    <row r="2106" spans="2:16" x14ac:dyDescent="0.2">
      <c r="B2106" s="9"/>
      <c r="C2106" s="9"/>
      <c r="D2106" s="9"/>
      <c r="E2106" s="9"/>
      <c r="F2106" s="9"/>
      <c r="G2106" s="9"/>
      <c r="H2106" s="9"/>
      <c r="I2106" s="9"/>
      <c r="J2106" s="9"/>
      <c r="K2106" s="9"/>
      <c r="L2106" s="9"/>
      <c r="M2106" s="9"/>
      <c r="N2106" s="9"/>
      <c r="O2106" s="9"/>
      <c r="P2106" s="9"/>
    </row>
    <row r="2107" spans="2:16" x14ac:dyDescent="0.2">
      <c r="B2107" s="9"/>
      <c r="C2107" s="9"/>
      <c r="D2107" s="9"/>
      <c r="E2107" s="9"/>
      <c r="F2107" s="9"/>
      <c r="G2107" s="9"/>
      <c r="H2107" s="9"/>
      <c r="I2107" s="9"/>
      <c r="J2107" s="9"/>
      <c r="K2107" s="9"/>
      <c r="L2107" s="9"/>
      <c r="M2107" s="9"/>
      <c r="N2107" s="9"/>
      <c r="O2107" s="9"/>
      <c r="P2107" s="9"/>
    </row>
    <row r="2108" spans="2:16" x14ac:dyDescent="0.2">
      <c r="B2108" s="9"/>
      <c r="C2108" s="9"/>
      <c r="D2108" s="9"/>
      <c r="E2108" s="9"/>
      <c r="F2108" s="9"/>
      <c r="G2108" s="9"/>
      <c r="H2108" s="9"/>
      <c r="I2108" s="9"/>
      <c r="J2108" s="9"/>
      <c r="K2108" s="9"/>
      <c r="L2108" s="9"/>
      <c r="M2108" s="9"/>
      <c r="N2108" s="9"/>
      <c r="O2108" s="9"/>
      <c r="P2108" s="9"/>
    </row>
    <row r="2109" spans="2:16" x14ac:dyDescent="0.2">
      <c r="B2109" s="9"/>
      <c r="C2109" s="9"/>
      <c r="D2109" s="9"/>
      <c r="E2109" s="9"/>
      <c r="F2109" s="9"/>
      <c r="G2109" s="9"/>
      <c r="H2109" s="9"/>
      <c r="I2109" s="9"/>
      <c r="J2109" s="9"/>
      <c r="K2109" s="9"/>
      <c r="L2109" s="9"/>
      <c r="M2109" s="9"/>
      <c r="N2109" s="9"/>
      <c r="O2109" s="9"/>
      <c r="P2109" s="9"/>
    </row>
    <row r="2110" spans="2:16" x14ac:dyDescent="0.2">
      <c r="B2110" s="9"/>
      <c r="C2110" s="9"/>
      <c r="D2110" s="9"/>
      <c r="E2110" s="9"/>
      <c r="F2110" s="9"/>
      <c r="G2110" s="9"/>
      <c r="H2110" s="9"/>
      <c r="I2110" s="9"/>
      <c r="J2110" s="9"/>
      <c r="K2110" s="9"/>
      <c r="L2110" s="9"/>
      <c r="M2110" s="9"/>
      <c r="N2110" s="9"/>
      <c r="O2110" s="9"/>
      <c r="P2110" s="9"/>
    </row>
    <row r="2111" spans="2:16" x14ac:dyDescent="0.2">
      <c r="B2111" s="9"/>
      <c r="C2111" s="9"/>
      <c r="D2111" s="9"/>
      <c r="E2111" s="9"/>
      <c r="F2111" s="9"/>
      <c r="G2111" s="9"/>
      <c r="H2111" s="9"/>
      <c r="I2111" s="9"/>
      <c r="J2111" s="9"/>
      <c r="K2111" s="9"/>
      <c r="L2111" s="9"/>
      <c r="M2111" s="9"/>
      <c r="N2111" s="9"/>
      <c r="O2111" s="9"/>
      <c r="P2111" s="9"/>
    </row>
    <row r="2112" spans="2:16" x14ac:dyDescent="0.2">
      <c r="B2112" s="9"/>
      <c r="C2112" s="9"/>
      <c r="D2112" s="9"/>
      <c r="E2112" s="9"/>
      <c r="F2112" s="9"/>
      <c r="G2112" s="9"/>
      <c r="H2112" s="9"/>
      <c r="I2112" s="9"/>
      <c r="J2112" s="9"/>
      <c r="K2112" s="9"/>
      <c r="L2112" s="9"/>
      <c r="M2112" s="9"/>
      <c r="N2112" s="9"/>
      <c r="O2112" s="9"/>
      <c r="P2112" s="9"/>
    </row>
    <row r="2113" spans="2:16" x14ac:dyDescent="0.2">
      <c r="B2113" s="9"/>
      <c r="C2113" s="9"/>
      <c r="D2113" s="9"/>
      <c r="E2113" s="9"/>
      <c r="F2113" s="9"/>
      <c r="G2113" s="9"/>
      <c r="H2113" s="9"/>
      <c r="I2113" s="9"/>
      <c r="J2113" s="9"/>
      <c r="K2113" s="9"/>
      <c r="L2113" s="9"/>
      <c r="M2113" s="9"/>
      <c r="N2113" s="9"/>
      <c r="O2113" s="9"/>
      <c r="P2113" s="9"/>
    </row>
    <row r="2114" spans="2:16" x14ac:dyDescent="0.2">
      <c r="B2114" s="9"/>
      <c r="C2114" s="9"/>
      <c r="D2114" s="9"/>
      <c r="E2114" s="9"/>
      <c r="F2114" s="9"/>
      <c r="G2114" s="9"/>
      <c r="H2114" s="9"/>
      <c r="I2114" s="9"/>
      <c r="J2114" s="9"/>
      <c r="K2114" s="9"/>
      <c r="L2114" s="9"/>
      <c r="M2114" s="9"/>
      <c r="N2114" s="9"/>
      <c r="O2114" s="9"/>
      <c r="P2114" s="9"/>
    </row>
    <row r="2115" spans="2:16" x14ac:dyDescent="0.2">
      <c r="B2115" s="9"/>
      <c r="C2115" s="9"/>
      <c r="D2115" s="9"/>
      <c r="E2115" s="9"/>
      <c r="F2115" s="9"/>
      <c r="G2115" s="9"/>
      <c r="H2115" s="9"/>
      <c r="I2115" s="9"/>
      <c r="J2115" s="9"/>
      <c r="K2115" s="9"/>
      <c r="L2115" s="9"/>
      <c r="M2115" s="9"/>
      <c r="N2115" s="9"/>
      <c r="O2115" s="9"/>
      <c r="P2115" s="9"/>
    </row>
    <row r="2116" spans="2:16" x14ac:dyDescent="0.2">
      <c r="B2116" s="9"/>
      <c r="C2116" s="9"/>
      <c r="D2116" s="9"/>
      <c r="E2116" s="9"/>
      <c r="F2116" s="9"/>
      <c r="G2116" s="9"/>
      <c r="H2116" s="9"/>
      <c r="I2116" s="9"/>
      <c r="J2116" s="9"/>
      <c r="K2116" s="9"/>
      <c r="L2116" s="9"/>
      <c r="M2116" s="9"/>
      <c r="N2116" s="9"/>
      <c r="O2116" s="9"/>
      <c r="P2116" s="9"/>
    </row>
    <row r="2117" spans="2:16" x14ac:dyDescent="0.2">
      <c r="B2117" s="9"/>
      <c r="C2117" s="9"/>
      <c r="D2117" s="9"/>
      <c r="E2117" s="9"/>
      <c r="F2117" s="9"/>
      <c r="G2117" s="9"/>
      <c r="H2117" s="9"/>
      <c r="I2117" s="9"/>
      <c r="J2117" s="9"/>
      <c r="K2117" s="9"/>
      <c r="L2117" s="9"/>
      <c r="M2117" s="9"/>
      <c r="N2117" s="9"/>
      <c r="O2117" s="9"/>
      <c r="P2117" s="9"/>
    </row>
    <row r="2118" spans="2:16" x14ac:dyDescent="0.2">
      <c r="B2118" s="9"/>
      <c r="C2118" s="9"/>
      <c r="D2118" s="9"/>
      <c r="E2118" s="9"/>
      <c r="F2118" s="9"/>
      <c r="G2118" s="9"/>
      <c r="H2118" s="9"/>
      <c r="I2118" s="9"/>
      <c r="J2118" s="9"/>
      <c r="K2118" s="9"/>
      <c r="L2118" s="9"/>
      <c r="M2118" s="9"/>
      <c r="N2118" s="9"/>
      <c r="O2118" s="9"/>
      <c r="P2118" s="9"/>
    </row>
    <row r="2119" spans="2:16" x14ac:dyDescent="0.2">
      <c r="B2119" s="9"/>
      <c r="C2119" s="9"/>
      <c r="D2119" s="9"/>
      <c r="E2119" s="9"/>
      <c r="F2119" s="9"/>
      <c r="G2119" s="9"/>
      <c r="H2119" s="9"/>
      <c r="I2119" s="9"/>
      <c r="J2119" s="9"/>
      <c r="K2119" s="9"/>
      <c r="L2119" s="9"/>
      <c r="M2119" s="9"/>
      <c r="N2119" s="9"/>
      <c r="O2119" s="9"/>
      <c r="P2119" s="9"/>
    </row>
    <row r="2120" spans="2:16" x14ac:dyDescent="0.2">
      <c r="B2120" s="9"/>
      <c r="C2120" s="9"/>
      <c r="D2120" s="9"/>
      <c r="E2120" s="9"/>
      <c r="F2120" s="9"/>
      <c r="G2120" s="9"/>
      <c r="H2120" s="9"/>
      <c r="I2120" s="9"/>
      <c r="J2120" s="9"/>
      <c r="K2120" s="9"/>
      <c r="L2120" s="9"/>
      <c r="M2120" s="9"/>
      <c r="N2120" s="9"/>
      <c r="O2120" s="9"/>
      <c r="P2120" s="9"/>
    </row>
    <row r="2121" spans="2:16" x14ac:dyDescent="0.2">
      <c r="B2121" s="9"/>
      <c r="C2121" s="9"/>
      <c r="D2121" s="9"/>
      <c r="E2121" s="9"/>
      <c r="F2121" s="9"/>
      <c r="G2121" s="9"/>
      <c r="H2121" s="9"/>
      <c r="I2121" s="9"/>
      <c r="J2121" s="9"/>
      <c r="K2121" s="9"/>
      <c r="L2121" s="9"/>
      <c r="M2121" s="9"/>
      <c r="N2121" s="9"/>
      <c r="O2121" s="9"/>
      <c r="P2121" s="9"/>
    </row>
    <row r="2122" spans="2:16" x14ac:dyDescent="0.2">
      <c r="B2122" s="9"/>
      <c r="C2122" s="9"/>
      <c r="D2122" s="9"/>
      <c r="E2122" s="9"/>
      <c r="F2122" s="9"/>
      <c r="G2122" s="9"/>
      <c r="H2122" s="9"/>
      <c r="I2122" s="9"/>
      <c r="J2122" s="9"/>
      <c r="K2122" s="9"/>
      <c r="L2122" s="9"/>
      <c r="M2122" s="9"/>
      <c r="N2122" s="9"/>
      <c r="O2122" s="9"/>
      <c r="P2122" s="9"/>
    </row>
    <row r="2123" spans="2:16" x14ac:dyDescent="0.2">
      <c r="B2123" s="9"/>
      <c r="C2123" s="9"/>
      <c r="D2123" s="9"/>
      <c r="E2123" s="9"/>
      <c r="F2123" s="9"/>
      <c r="G2123" s="9"/>
      <c r="H2123" s="9"/>
      <c r="I2123" s="9"/>
      <c r="J2123" s="9"/>
      <c r="K2123" s="9"/>
      <c r="L2123" s="9"/>
      <c r="M2123" s="9"/>
      <c r="N2123" s="9"/>
      <c r="O2123" s="9"/>
      <c r="P2123" s="9"/>
    </row>
    <row r="2124" spans="2:16" x14ac:dyDescent="0.2">
      <c r="B2124" s="9"/>
      <c r="C2124" s="9"/>
      <c r="D2124" s="9"/>
      <c r="E2124" s="9"/>
      <c r="F2124" s="9"/>
      <c r="G2124" s="9"/>
      <c r="H2124" s="9"/>
      <c r="I2124" s="9"/>
      <c r="J2124" s="9"/>
      <c r="K2124" s="9"/>
      <c r="L2124" s="9"/>
      <c r="M2124" s="9"/>
      <c r="N2124" s="9"/>
      <c r="O2124" s="9"/>
      <c r="P2124" s="9"/>
    </row>
    <row r="2125" spans="2:16" x14ac:dyDescent="0.2">
      <c r="B2125" s="9"/>
      <c r="C2125" s="9"/>
      <c r="D2125" s="9"/>
      <c r="E2125" s="9"/>
      <c r="F2125" s="9"/>
      <c r="G2125" s="9"/>
      <c r="H2125" s="9"/>
      <c r="I2125" s="9"/>
      <c r="J2125" s="9"/>
      <c r="K2125" s="9"/>
      <c r="L2125" s="9"/>
      <c r="M2125" s="9"/>
      <c r="N2125" s="9"/>
      <c r="O2125" s="9"/>
      <c r="P2125" s="9"/>
    </row>
    <row r="2126" spans="2:16" x14ac:dyDescent="0.2">
      <c r="B2126" s="9"/>
      <c r="C2126" s="9"/>
      <c r="D2126" s="9"/>
      <c r="E2126" s="9"/>
      <c r="F2126" s="9"/>
      <c r="G2126" s="9"/>
      <c r="H2126" s="9"/>
      <c r="I2126" s="9"/>
      <c r="J2126" s="9"/>
      <c r="K2126" s="9"/>
      <c r="L2126" s="9"/>
      <c r="M2126" s="9"/>
      <c r="N2126" s="9"/>
      <c r="O2126" s="9"/>
      <c r="P2126" s="9"/>
    </row>
    <row r="2127" spans="2:16" x14ac:dyDescent="0.2">
      <c r="B2127" s="9"/>
      <c r="C2127" s="9"/>
      <c r="D2127" s="9"/>
      <c r="E2127" s="9"/>
      <c r="F2127" s="9"/>
      <c r="G2127" s="9"/>
      <c r="H2127" s="9"/>
      <c r="I2127" s="9"/>
      <c r="J2127" s="9"/>
      <c r="K2127" s="9"/>
      <c r="L2127" s="9"/>
      <c r="M2127" s="9"/>
      <c r="N2127" s="9"/>
      <c r="O2127" s="9"/>
      <c r="P2127" s="9"/>
    </row>
    <row r="2128" spans="2:16" x14ac:dyDescent="0.2">
      <c r="B2128" s="9"/>
      <c r="C2128" s="9"/>
      <c r="D2128" s="9"/>
      <c r="E2128" s="9"/>
      <c r="F2128" s="9"/>
      <c r="G2128" s="9"/>
      <c r="H2128" s="9"/>
      <c r="I2128" s="9"/>
      <c r="J2128" s="9"/>
      <c r="K2128" s="9"/>
      <c r="L2128" s="9"/>
      <c r="M2128" s="9"/>
      <c r="N2128" s="9"/>
      <c r="O2128" s="9"/>
      <c r="P2128" s="9"/>
    </row>
    <row r="2129" spans="2:16" x14ac:dyDescent="0.2">
      <c r="B2129" s="9"/>
      <c r="C2129" s="9"/>
      <c r="D2129" s="9"/>
      <c r="E2129" s="9"/>
      <c r="F2129" s="9"/>
      <c r="G2129" s="9"/>
      <c r="H2129" s="9"/>
      <c r="I2129" s="9"/>
      <c r="J2129" s="9"/>
      <c r="K2129" s="9"/>
      <c r="L2129" s="9"/>
      <c r="M2129" s="9"/>
      <c r="N2129" s="9"/>
      <c r="O2129" s="9"/>
      <c r="P2129" s="9"/>
    </row>
    <row r="2130" spans="2:16" x14ac:dyDescent="0.2">
      <c r="B2130" s="9"/>
      <c r="C2130" s="9"/>
      <c r="D2130" s="9"/>
      <c r="E2130" s="9"/>
      <c r="F2130" s="9"/>
      <c r="G2130" s="9"/>
      <c r="H2130" s="9"/>
      <c r="I2130" s="9"/>
      <c r="J2130" s="9"/>
      <c r="K2130" s="9"/>
      <c r="L2130" s="9"/>
      <c r="M2130" s="9"/>
      <c r="N2130" s="9"/>
      <c r="O2130" s="9"/>
      <c r="P2130" s="9"/>
    </row>
    <row r="2131" spans="2:16" x14ac:dyDescent="0.2">
      <c r="B2131" s="9"/>
      <c r="C2131" s="9"/>
      <c r="D2131" s="9"/>
      <c r="E2131" s="9"/>
      <c r="F2131" s="9"/>
      <c r="G2131" s="9"/>
      <c r="H2131" s="9"/>
      <c r="I2131" s="9"/>
      <c r="J2131" s="9"/>
      <c r="K2131" s="9"/>
      <c r="L2131" s="9"/>
      <c r="M2131" s="9"/>
      <c r="N2131" s="9"/>
      <c r="O2131" s="9"/>
      <c r="P2131" s="9"/>
    </row>
    <row r="2132" spans="2:16" x14ac:dyDescent="0.2">
      <c r="B2132" s="9"/>
      <c r="C2132" s="9"/>
      <c r="D2132" s="9"/>
      <c r="E2132" s="9"/>
      <c r="F2132" s="9"/>
      <c r="G2132" s="9"/>
      <c r="H2132" s="9"/>
      <c r="I2132" s="9"/>
      <c r="J2132" s="9"/>
      <c r="K2132" s="9"/>
      <c r="L2132" s="9"/>
      <c r="M2132" s="9"/>
      <c r="N2132" s="9"/>
      <c r="O2132" s="9"/>
      <c r="P2132" s="9"/>
    </row>
    <row r="2133" spans="2:16" x14ac:dyDescent="0.2">
      <c r="B2133" s="9"/>
      <c r="C2133" s="9"/>
      <c r="D2133" s="9"/>
      <c r="E2133" s="9"/>
      <c r="F2133" s="9"/>
      <c r="G2133" s="9"/>
      <c r="H2133" s="9"/>
      <c r="I2133" s="9"/>
      <c r="J2133" s="9"/>
      <c r="K2133" s="9"/>
      <c r="L2133" s="9"/>
      <c r="M2133" s="9"/>
      <c r="N2133" s="9"/>
      <c r="O2133" s="9"/>
      <c r="P2133" s="9"/>
    </row>
    <row r="2134" spans="2:16" x14ac:dyDescent="0.2">
      <c r="B2134" s="9"/>
      <c r="C2134" s="9"/>
      <c r="D2134" s="9"/>
      <c r="E2134" s="9"/>
      <c r="F2134" s="9"/>
      <c r="G2134" s="9"/>
      <c r="H2134" s="9"/>
      <c r="I2134" s="9"/>
      <c r="J2134" s="9"/>
      <c r="K2134" s="9"/>
      <c r="L2134" s="9"/>
      <c r="M2134" s="9"/>
      <c r="N2134" s="9"/>
      <c r="O2134" s="9"/>
      <c r="P2134" s="9"/>
    </row>
    <row r="2135" spans="2:16" x14ac:dyDescent="0.2">
      <c r="B2135" s="9"/>
      <c r="C2135" s="9"/>
      <c r="D2135" s="9"/>
      <c r="E2135" s="9"/>
      <c r="F2135" s="9"/>
      <c r="G2135" s="9"/>
      <c r="H2135" s="9"/>
      <c r="I2135" s="9"/>
      <c r="J2135" s="9"/>
      <c r="K2135" s="9"/>
      <c r="L2135" s="9"/>
      <c r="M2135" s="9"/>
      <c r="N2135" s="9"/>
      <c r="O2135" s="9"/>
      <c r="P2135" s="9"/>
    </row>
    <row r="2136" spans="2:16" x14ac:dyDescent="0.2">
      <c r="B2136" s="9"/>
      <c r="C2136" s="9"/>
      <c r="D2136" s="9"/>
      <c r="E2136" s="9"/>
      <c r="F2136" s="9"/>
      <c r="G2136" s="9"/>
      <c r="H2136" s="9"/>
      <c r="I2136" s="9"/>
      <c r="J2136" s="9"/>
      <c r="K2136" s="9"/>
      <c r="L2136" s="9"/>
      <c r="M2136" s="9"/>
      <c r="N2136" s="9"/>
      <c r="O2136" s="9"/>
      <c r="P2136" s="9"/>
    </row>
    <row r="2137" spans="2:16" x14ac:dyDescent="0.2">
      <c r="B2137" s="9"/>
      <c r="C2137" s="9"/>
      <c r="D2137" s="9"/>
      <c r="E2137" s="9"/>
      <c r="F2137" s="9"/>
      <c r="G2137" s="9"/>
      <c r="H2137" s="9"/>
      <c r="I2137" s="9"/>
      <c r="J2137" s="9"/>
      <c r="K2137" s="9"/>
      <c r="L2137" s="9"/>
      <c r="M2137" s="9"/>
      <c r="N2137" s="9"/>
      <c r="O2137" s="9"/>
      <c r="P2137" s="9"/>
    </row>
    <row r="2138" spans="2:16" x14ac:dyDescent="0.2">
      <c r="B2138" s="9"/>
      <c r="C2138" s="9"/>
      <c r="D2138" s="9"/>
      <c r="E2138" s="9"/>
      <c r="F2138" s="9"/>
      <c r="G2138" s="9"/>
      <c r="H2138" s="9"/>
      <c r="I2138" s="9"/>
      <c r="J2138" s="9"/>
      <c r="K2138" s="9"/>
      <c r="L2138" s="9"/>
      <c r="M2138" s="9"/>
      <c r="N2138" s="9"/>
      <c r="O2138" s="9"/>
      <c r="P2138" s="9"/>
    </row>
    <row r="2139" spans="2:16" x14ac:dyDescent="0.2">
      <c r="B2139" s="9"/>
      <c r="C2139" s="9"/>
      <c r="D2139" s="9"/>
      <c r="E2139" s="9"/>
      <c r="F2139" s="9"/>
      <c r="G2139" s="9"/>
      <c r="H2139" s="9"/>
      <c r="I2139" s="9"/>
      <c r="J2139" s="9"/>
      <c r="K2139" s="9"/>
      <c r="L2139" s="9"/>
      <c r="M2139" s="9"/>
      <c r="N2139" s="9"/>
      <c r="O2139" s="9"/>
      <c r="P2139" s="9"/>
    </row>
    <row r="2140" spans="2:16" x14ac:dyDescent="0.2">
      <c r="B2140" s="9"/>
      <c r="C2140" s="9"/>
      <c r="D2140" s="9"/>
      <c r="E2140" s="9"/>
      <c r="F2140" s="9"/>
      <c r="G2140" s="9"/>
      <c r="H2140" s="9"/>
      <c r="I2140" s="9"/>
      <c r="J2140" s="9"/>
      <c r="K2140" s="9"/>
      <c r="L2140" s="9"/>
      <c r="M2140" s="9"/>
      <c r="N2140" s="9"/>
      <c r="O2140" s="9"/>
      <c r="P2140" s="9"/>
    </row>
    <row r="2141" spans="2:16" x14ac:dyDescent="0.2">
      <c r="B2141" s="9"/>
      <c r="C2141" s="9"/>
      <c r="D2141" s="9"/>
      <c r="E2141" s="9"/>
      <c r="F2141" s="9"/>
      <c r="G2141" s="9"/>
      <c r="H2141" s="9"/>
      <c r="I2141" s="9"/>
      <c r="J2141" s="9"/>
      <c r="K2141" s="9"/>
      <c r="L2141" s="9"/>
      <c r="M2141" s="9"/>
      <c r="N2141" s="9"/>
      <c r="O2141" s="9"/>
      <c r="P2141" s="9"/>
    </row>
    <row r="2142" spans="2:16" x14ac:dyDescent="0.2">
      <c r="B2142" s="9"/>
      <c r="C2142" s="9"/>
      <c r="D2142" s="9"/>
      <c r="E2142" s="9"/>
      <c r="F2142" s="9"/>
      <c r="G2142" s="9"/>
      <c r="H2142" s="9"/>
      <c r="I2142" s="9"/>
      <c r="J2142" s="9"/>
      <c r="K2142" s="9"/>
      <c r="L2142" s="9"/>
      <c r="M2142" s="9"/>
      <c r="N2142" s="9"/>
      <c r="O2142" s="9"/>
      <c r="P2142" s="9"/>
    </row>
    <row r="2143" spans="2:16" x14ac:dyDescent="0.2">
      <c r="B2143" s="9"/>
      <c r="C2143" s="9"/>
      <c r="D2143" s="9"/>
      <c r="E2143" s="9"/>
      <c r="F2143" s="9"/>
      <c r="G2143" s="9"/>
      <c r="H2143" s="9"/>
      <c r="I2143" s="9"/>
      <c r="J2143" s="9"/>
      <c r="K2143" s="9"/>
      <c r="L2143" s="9"/>
      <c r="M2143" s="9"/>
      <c r="N2143" s="9"/>
      <c r="O2143" s="9"/>
      <c r="P2143" s="9"/>
    </row>
    <row r="2144" spans="2:16" x14ac:dyDescent="0.2">
      <c r="B2144" s="9"/>
      <c r="C2144" s="9"/>
      <c r="D2144" s="9"/>
      <c r="E2144" s="9"/>
      <c r="F2144" s="9"/>
      <c r="G2144" s="9"/>
      <c r="H2144" s="9"/>
      <c r="I2144" s="9"/>
      <c r="J2144" s="9"/>
      <c r="K2144" s="9"/>
      <c r="L2144" s="9"/>
      <c r="M2144" s="9"/>
      <c r="N2144" s="9"/>
      <c r="O2144" s="9"/>
      <c r="P2144" s="9"/>
    </row>
    <row r="2145" spans="2:16" x14ac:dyDescent="0.2">
      <c r="B2145" s="9"/>
      <c r="C2145" s="9"/>
      <c r="D2145" s="9"/>
      <c r="E2145" s="9"/>
      <c r="F2145" s="9"/>
      <c r="G2145" s="9"/>
      <c r="H2145" s="9"/>
      <c r="I2145" s="9"/>
      <c r="J2145" s="9"/>
      <c r="K2145" s="9"/>
      <c r="L2145" s="9"/>
      <c r="M2145" s="9"/>
      <c r="N2145" s="9"/>
      <c r="O2145" s="9"/>
      <c r="P2145" s="9"/>
    </row>
    <row r="2146" spans="2:16" x14ac:dyDescent="0.2">
      <c r="B2146" s="9"/>
      <c r="C2146" s="9"/>
      <c r="D2146" s="9"/>
      <c r="E2146" s="9"/>
      <c r="F2146" s="9"/>
      <c r="G2146" s="9"/>
      <c r="H2146" s="9"/>
      <c r="I2146" s="9"/>
      <c r="J2146" s="9"/>
      <c r="K2146" s="9"/>
      <c r="L2146" s="9"/>
      <c r="M2146" s="9"/>
      <c r="N2146" s="9"/>
      <c r="O2146" s="9"/>
      <c r="P2146" s="9"/>
    </row>
    <row r="2147" spans="2:16" x14ac:dyDescent="0.2">
      <c r="B2147" s="9"/>
      <c r="C2147" s="9"/>
      <c r="D2147" s="9"/>
      <c r="E2147" s="9"/>
      <c r="F2147" s="9"/>
      <c r="G2147" s="9"/>
      <c r="H2147" s="9"/>
      <c r="I2147" s="9"/>
      <c r="J2147" s="9"/>
      <c r="K2147" s="9"/>
      <c r="L2147" s="9"/>
      <c r="M2147" s="9"/>
      <c r="N2147" s="9"/>
      <c r="O2147" s="9"/>
      <c r="P2147" s="9"/>
    </row>
    <row r="2148" spans="2:16" x14ac:dyDescent="0.2">
      <c r="B2148" s="9"/>
      <c r="C2148" s="9"/>
      <c r="D2148" s="9"/>
      <c r="E2148" s="9"/>
      <c r="F2148" s="9"/>
      <c r="G2148" s="9"/>
      <c r="H2148" s="9"/>
      <c r="I2148" s="9"/>
      <c r="J2148" s="9"/>
      <c r="K2148" s="9"/>
      <c r="L2148" s="9"/>
      <c r="M2148" s="9"/>
      <c r="N2148" s="9"/>
      <c r="O2148" s="9"/>
      <c r="P2148" s="9"/>
    </row>
    <row r="2149" spans="2:16" x14ac:dyDescent="0.2">
      <c r="B2149" s="9"/>
      <c r="C2149" s="9"/>
      <c r="D2149" s="9"/>
      <c r="E2149" s="9"/>
      <c r="F2149" s="9"/>
      <c r="G2149" s="9"/>
      <c r="H2149" s="9"/>
      <c r="I2149" s="9"/>
      <c r="J2149" s="9"/>
      <c r="K2149" s="9"/>
      <c r="L2149" s="9"/>
      <c r="M2149" s="9"/>
      <c r="N2149" s="9"/>
      <c r="O2149" s="9"/>
      <c r="P2149" s="9"/>
    </row>
    <row r="2150" spans="2:16" x14ac:dyDescent="0.2">
      <c r="B2150" s="9"/>
      <c r="C2150" s="9"/>
      <c r="D2150" s="9"/>
      <c r="E2150" s="9"/>
      <c r="F2150" s="9"/>
      <c r="G2150" s="9"/>
      <c r="H2150" s="9"/>
      <c r="I2150" s="9"/>
      <c r="J2150" s="9"/>
      <c r="K2150" s="9"/>
      <c r="L2150" s="9"/>
      <c r="M2150" s="9"/>
      <c r="N2150" s="9"/>
      <c r="O2150" s="9"/>
      <c r="P2150" s="9"/>
    </row>
    <row r="2151" spans="2:16" x14ac:dyDescent="0.2">
      <c r="B2151" s="9"/>
      <c r="C2151" s="9"/>
      <c r="D2151" s="9"/>
      <c r="E2151" s="9"/>
      <c r="F2151" s="9"/>
      <c r="G2151" s="9"/>
      <c r="H2151" s="9"/>
      <c r="I2151" s="9"/>
      <c r="J2151" s="9"/>
      <c r="K2151" s="9"/>
      <c r="L2151" s="9"/>
      <c r="M2151" s="9"/>
      <c r="N2151" s="9"/>
      <c r="O2151" s="9"/>
      <c r="P2151" s="9"/>
    </row>
    <row r="2152" spans="2:16" x14ac:dyDescent="0.2">
      <c r="B2152" s="9"/>
      <c r="C2152" s="9"/>
      <c r="D2152" s="9"/>
      <c r="E2152" s="9"/>
      <c r="F2152" s="9"/>
      <c r="G2152" s="9"/>
      <c r="H2152" s="9"/>
      <c r="I2152" s="9"/>
      <c r="J2152" s="9"/>
      <c r="K2152" s="9"/>
      <c r="L2152" s="9"/>
      <c r="M2152" s="9"/>
      <c r="N2152" s="9"/>
      <c r="O2152" s="9"/>
      <c r="P2152" s="9"/>
    </row>
    <row r="2153" spans="2:16" x14ac:dyDescent="0.2">
      <c r="B2153" s="9"/>
      <c r="C2153" s="9"/>
      <c r="D2153" s="9"/>
      <c r="E2153" s="9"/>
      <c r="F2153" s="9"/>
      <c r="G2153" s="9"/>
      <c r="H2153" s="9"/>
      <c r="I2153" s="9"/>
      <c r="J2153" s="9"/>
      <c r="K2153" s="9"/>
      <c r="L2153" s="9"/>
      <c r="M2153" s="9"/>
      <c r="N2153" s="9"/>
      <c r="O2153" s="9"/>
      <c r="P2153" s="9"/>
    </row>
    <row r="2154" spans="2:16" x14ac:dyDescent="0.2">
      <c r="B2154" s="9"/>
      <c r="C2154" s="9"/>
      <c r="D2154" s="9"/>
      <c r="E2154" s="9"/>
      <c r="F2154" s="9"/>
      <c r="G2154" s="9"/>
      <c r="H2154" s="9"/>
      <c r="I2154" s="9"/>
      <c r="J2154" s="9"/>
      <c r="K2154" s="9"/>
      <c r="L2154" s="9"/>
      <c r="M2154" s="9"/>
      <c r="N2154" s="9"/>
      <c r="O2154" s="9"/>
      <c r="P2154" s="9"/>
    </row>
    <row r="2155" spans="2:16" x14ac:dyDescent="0.2">
      <c r="B2155" s="9"/>
      <c r="C2155" s="9"/>
      <c r="D2155" s="9"/>
      <c r="E2155" s="9"/>
      <c r="F2155" s="9"/>
      <c r="G2155" s="9"/>
      <c r="H2155" s="9"/>
      <c r="I2155" s="9"/>
      <c r="J2155" s="9"/>
      <c r="K2155" s="9"/>
      <c r="L2155" s="9"/>
      <c r="M2155" s="9"/>
      <c r="N2155" s="9"/>
      <c r="O2155" s="9"/>
      <c r="P2155" s="9"/>
    </row>
    <row r="2156" spans="2:16" x14ac:dyDescent="0.2">
      <c r="B2156" s="9"/>
      <c r="C2156" s="9"/>
      <c r="D2156" s="9"/>
      <c r="E2156" s="9"/>
      <c r="F2156" s="9"/>
      <c r="G2156" s="9"/>
      <c r="H2156" s="9"/>
      <c r="I2156" s="9"/>
      <c r="J2156" s="9"/>
      <c r="K2156" s="9"/>
      <c r="L2156" s="9"/>
      <c r="M2156" s="9"/>
      <c r="N2156" s="9"/>
      <c r="O2156" s="9"/>
      <c r="P2156" s="9"/>
    </row>
    <row r="2157" spans="2:16" x14ac:dyDescent="0.2">
      <c r="B2157" s="9"/>
      <c r="C2157" s="9"/>
      <c r="D2157" s="9"/>
      <c r="E2157" s="9"/>
      <c r="F2157" s="9"/>
      <c r="G2157" s="9"/>
      <c r="H2157" s="9"/>
      <c r="I2157" s="9"/>
      <c r="J2157" s="9"/>
      <c r="K2157" s="9"/>
      <c r="L2157" s="9"/>
      <c r="M2157" s="9"/>
      <c r="N2157" s="9"/>
      <c r="O2157" s="9"/>
      <c r="P2157" s="9"/>
    </row>
    <row r="2158" spans="2:16" x14ac:dyDescent="0.2">
      <c r="B2158" s="9"/>
      <c r="C2158" s="9"/>
      <c r="D2158" s="9"/>
      <c r="E2158" s="9"/>
      <c r="F2158" s="9"/>
      <c r="G2158" s="9"/>
      <c r="H2158" s="9"/>
      <c r="I2158" s="9"/>
      <c r="J2158" s="9"/>
      <c r="K2158" s="9"/>
      <c r="L2158" s="9"/>
      <c r="M2158" s="9"/>
      <c r="N2158" s="9"/>
      <c r="O2158" s="9"/>
      <c r="P2158" s="9"/>
    </row>
    <row r="2159" spans="2:16" x14ac:dyDescent="0.2">
      <c r="B2159" s="9"/>
      <c r="C2159" s="9"/>
      <c r="D2159" s="9"/>
      <c r="E2159" s="9"/>
      <c r="F2159" s="9"/>
      <c r="G2159" s="9"/>
      <c r="H2159" s="9"/>
      <c r="I2159" s="9"/>
      <c r="J2159" s="9"/>
      <c r="K2159" s="9"/>
      <c r="L2159" s="9"/>
      <c r="M2159" s="9"/>
      <c r="N2159" s="9"/>
      <c r="O2159" s="9"/>
      <c r="P2159" s="9"/>
    </row>
    <row r="2160" spans="2:16" x14ac:dyDescent="0.2">
      <c r="B2160" s="9"/>
      <c r="C2160" s="9"/>
      <c r="D2160" s="9"/>
      <c r="E2160" s="9"/>
      <c r="F2160" s="9"/>
      <c r="G2160" s="9"/>
      <c r="H2160" s="9"/>
      <c r="I2160" s="9"/>
      <c r="J2160" s="9"/>
      <c r="K2160" s="9"/>
      <c r="L2160" s="9"/>
      <c r="M2160" s="9"/>
      <c r="N2160" s="9"/>
      <c r="O2160" s="9"/>
      <c r="P2160" s="9"/>
    </row>
    <row r="2161" spans="2:16" x14ac:dyDescent="0.2">
      <c r="B2161" s="9"/>
      <c r="C2161" s="9"/>
      <c r="D2161" s="9"/>
      <c r="E2161" s="9"/>
      <c r="F2161" s="9"/>
      <c r="G2161" s="9"/>
      <c r="H2161" s="9"/>
      <c r="I2161" s="9"/>
      <c r="J2161" s="9"/>
      <c r="K2161" s="9"/>
      <c r="L2161" s="9"/>
      <c r="M2161" s="9"/>
      <c r="N2161" s="9"/>
      <c r="O2161" s="9"/>
      <c r="P2161" s="9"/>
    </row>
    <row r="2162" spans="2:16" x14ac:dyDescent="0.2">
      <c r="B2162" s="9"/>
      <c r="C2162" s="9"/>
      <c r="D2162" s="9"/>
      <c r="E2162" s="9"/>
      <c r="F2162" s="9"/>
      <c r="G2162" s="9"/>
      <c r="H2162" s="9"/>
      <c r="I2162" s="9"/>
      <c r="J2162" s="9"/>
      <c r="K2162" s="9"/>
      <c r="L2162" s="9"/>
      <c r="M2162" s="9"/>
      <c r="N2162" s="9"/>
      <c r="O2162" s="9"/>
      <c r="P2162" s="9"/>
    </row>
    <row r="2163" spans="2:16" x14ac:dyDescent="0.2">
      <c r="B2163" s="9"/>
      <c r="C2163" s="9"/>
      <c r="D2163" s="9"/>
      <c r="E2163" s="9"/>
      <c r="F2163" s="9"/>
      <c r="G2163" s="9"/>
      <c r="H2163" s="9"/>
      <c r="I2163" s="9"/>
      <c r="J2163" s="9"/>
      <c r="K2163" s="9"/>
      <c r="L2163" s="9"/>
      <c r="M2163" s="9"/>
      <c r="N2163" s="9"/>
      <c r="O2163" s="9"/>
      <c r="P2163" s="9"/>
    </row>
    <row r="2164" spans="2:16" x14ac:dyDescent="0.2">
      <c r="B2164" s="9"/>
      <c r="C2164" s="9"/>
      <c r="D2164" s="9"/>
      <c r="E2164" s="9"/>
      <c r="F2164" s="9"/>
      <c r="G2164" s="9"/>
      <c r="H2164" s="9"/>
      <c r="I2164" s="9"/>
      <c r="J2164" s="9"/>
      <c r="K2164" s="9"/>
      <c r="L2164" s="9"/>
      <c r="M2164" s="9"/>
      <c r="N2164" s="9"/>
      <c r="O2164" s="9"/>
      <c r="P2164" s="9"/>
    </row>
    <row r="2165" spans="2:16" x14ac:dyDescent="0.2">
      <c r="B2165" s="9"/>
      <c r="C2165" s="9"/>
      <c r="D2165" s="9"/>
      <c r="E2165" s="9"/>
      <c r="F2165" s="9"/>
      <c r="G2165" s="9"/>
      <c r="H2165" s="9"/>
      <c r="I2165" s="9"/>
      <c r="J2165" s="9"/>
      <c r="K2165" s="9"/>
      <c r="L2165" s="9"/>
      <c r="M2165" s="9"/>
      <c r="N2165" s="9"/>
      <c r="O2165" s="9"/>
      <c r="P2165" s="9"/>
    </row>
    <row r="2166" spans="2:16" x14ac:dyDescent="0.2">
      <c r="B2166" s="9"/>
      <c r="C2166" s="9"/>
      <c r="D2166" s="9"/>
      <c r="E2166" s="9"/>
      <c r="F2166" s="9"/>
      <c r="G2166" s="9"/>
      <c r="H2166" s="9"/>
      <c r="I2166" s="9"/>
      <c r="J2166" s="9"/>
      <c r="K2166" s="9"/>
      <c r="L2166" s="9"/>
      <c r="M2166" s="9"/>
      <c r="N2166" s="9"/>
      <c r="O2166" s="9"/>
      <c r="P2166" s="9"/>
    </row>
    <row r="2167" spans="2:16" x14ac:dyDescent="0.2">
      <c r="B2167" s="9"/>
      <c r="C2167" s="9"/>
      <c r="D2167" s="9"/>
      <c r="E2167" s="9"/>
      <c r="F2167" s="9"/>
      <c r="G2167" s="9"/>
      <c r="H2167" s="9"/>
      <c r="I2167" s="9"/>
      <c r="J2167" s="9"/>
      <c r="K2167" s="9"/>
      <c r="L2167" s="9"/>
      <c r="M2167" s="9"/>
      <c r="N2167" s="9"/>
      <c r="O2167" s="9"/>
      <c r="P2167" s="9"/>
    </row>
    <row r="2168" spans="2:16" x14ac:dyDescent="0.2">
      <c r="B2168" s="9"/>
      <c r="C2168" s="9"/>
      <c r="D2168" s="9"/>
      <c r="E2168" s="9"/>
      <c r="F2168" s="9"/>
      <c r="G2168" s="9"/>
      <c r="H2168" s="9"/>
      <c r="I2168" s="9"/>
      <c r="J2168" s="9"/>
      <c r="K2168" s="9"/>
      <c r="L2168" s="9"/>
      <c r="M2168" s="9"/>
      <c r="N2168" s="9"/>
      <c r="O2168" s="9"/>
      <c r="P2168" s="9"/>
    </row>
    <row r="2169" spans="2:16" x14ac:dyDescent="0.2">
      <c r="B2169" s="9"/>
      <c r="C2169" s="9"/>
      <c r="D2169" s="9"/>
      <c r="E2169" s="9"/>
      <c r="F2169" s="9"/>
      <c r="G2169" s="9"/>
      <c r="H2169" s="9"/>
      <c r="I2169" s="9"/>
      <c r="J2169" s="9"/>
      <c r="K2169" s="9"/>
      <c r="L2169" s="9"/>
      <c r="M2169" s="9"/>
      <c r="N2169" s="9"/>
      <c r="O2169" s="9"/>
      <c r="P2169" s="9"/>
    </row>
    <row r="2170" spans="2:16" x14ac:dyDescent="0.2">
      <c r="B2170" s="9"/>
      <c r="C2170" s="9"/>
      <c r="D2170" s="9"/>
      <c r="E2170" s="9"/>
      <c r="F2170" s="9"/>
      <c r="G2170" s="9"/>
      <c r="H2170" s="9"/>
      <c r="I2170" s="9"/>
      <c r="J2170" s="9"/>
      <c r="K2170" s="9"/>
      <c r="L2170" s="9"/>
      <c r="M2170" s="9"/>
      <c r="N2170" s="9"/>
      <c r="O2170" s="9"/>
      <c r="P2170" s="9"/>
    </row>
    <row r="2171" spans="2:16" x14ac:dyDescent="0.2">
      <c r="B2171" s="9"/>
      <c r="C2171" s="9"/>
      <c r="D2171" s="9"/>
      <c r="E2171" s="9"/>
      <c r="F2171" s="9"/>
      <c r="G2171" s="9"/>
      <c r="H2171" s="9"/>
      <c r="I2171" s="9"/>
      <c r="J2171" s="9"/>
      <c r="K2171" s="9"/>
      <c r="L2171" s="9"/>
      <c r="M2171" s="9"/>
      <c r="N2171" s="9"/>
      <c r="O2171" s="9"/>
      <c r="P2171" s="9"/>
    </row>
    <row r="2172" spans="2:16" x14ac:dyDescent="0.2">
      <c r="B2172" s="9"/>
      <c r="C2172" s="9"/>
      <c r="D2172" s="9"/>
      <c r="E2172" s="9"/>
      <c r="F2172" s="9"/>
      <c r="G2172" s="9"/>
      <c r="H2172" s="9"/>
      <c r="I2172" s="9"/>
      <c r="J2172" s="9"/>
      <c r="K2172" s="9"/>
      <c r="L2172" s="9"/>
      <c r="M2172" s="9"/>
      <c r="N2172" s="9"/>
      <c r="O2172" s="9"/>
      <c r="P2172" s="9"/>
    </row>
    <row r="2173" spans="2:16" x14ac:dyDescent="0.2">
      <c r="B2173" s="9"/>
      <c r="C2173" s="9"/>
      <c r="D2173" s="9"/>
      <c r="E2173" s="9"/>
      <c r="F2173" s="9"/>
      <c r="G2173" s="9"/>
      <c r="H2173" s="9"/>
      <c r="I2173" s="9"/>
      <c r="J2173" s="9"/>
      <c r="K2173" s="9"/>
      <c r="L2173" s="9"/>
      <c r="M2173" s="9"/>
      <c r="N2173" s="9"/>
      <c r="O2173" s="9"/>
      <c r="P2173" s="9"/>
    </row>
    <row r="2174" spans="2:16" x14ac:dyDescent="0.2">
      <c r="B2174" s="9"/>
      <c r="C2174" s="9"/>
      <c r="D2174" s="9"/>
      <c r="E2174" s="9"/>
      <c r="F2174" s="9"/>
      <c r="G2174" s="9"/>
      <c r="H2174" s="9"/>
      <c r="I2174" s="9"/>
      <c r="J2174" s="9"/>
      <c r="K2174" s="9"/>
      <c r="L2174" s="9"/>
      <c r="M2174" s="9"/>
      <c r="N2174" s="9"/>
      <c r="O2174" s="9"/>
      <c r="P2174" s="9"/>
    </row>
    <row r="2175" spans="2:16" x14ac:dyDescent="0.2">
      <c r="B2175" s="9"/>
      <c r="C2175" s="9"/>
      <c r="D2175" s="9"/>
      <c r="E2175" s="9"/>
      <c r="F2175" s="9"/>
      <c r="G2175" s="9"/>
      <c r="H2175" s="9"/>
      <c r="I2175" s="9"/>
      <c r="J2175" s="9"/>
      <c r="K2175" s="9"/>
      <c r="L2175" s="9"/>
      <c r="M2175" s="9"/>
      <c r="N2175" s="9"/>
      <c r="O2175" s="9"/>
      <c r="P2175" s="9"/>
    </row>
    <row r="2176" spans="2:16" x14ac:dyDescent="0.2">
      <c r="B2176" s="9"/>
      <c r="C2176" s="9"/>
      <c r="D2176" s="9"/>
      <c r="E2176" s="9"/>
      <c r="F2176" s="9"/>
      <c r="G2176" s="9"/>
      <c r="H2176" s="9"/>
      <c r="I2176" s="9"/>
      <c r="J2176" s="9"/>
      <c r="K2176" s="9"/>
      <c r="L2176" s="9"/>
      <c r="M2176" s="9"/>
      <c r="N2176" s="9"/>
      <c r="O2176" s="9"/>
      <c r="P2176" s="9"/>
    </row>
    <row r="2177" spans="2:16" x14ac:dyDescent="0.2">
      <c r="B2177" s="9"/>
      <c r="C2177" s="9"/>
      <c r="D2177" s="9"/>
      <c r="E2177" s="9"/>
      <c r="F2177" s="9"/>
      <c r="G2177" s="9"/>
      <c r="H2177" s="9"/>
      <c r="I2177" s="9"/>
      <c r="J2177" s="9"/>
      <c r="K2177" s="9"/>
      <c r="L2177" s="9"/>
      <c r="M2177" s="9"/>
      <c r="N2177" s="9"/>
      <c r="O2177" s="9"/>
      <c r="P2177" s="9"/>
    </row>
    <row r="2178" spans="2:16" x14ac:dyDescent="0.2">
      <c r="B2178" s="9"/>
      <c r="C2178" s="9"/>
      <c r="D2178" s="9"/>
      <c r="E2178" s="9"/>
      <c r="F2178" s="9"/>
      <c r="G2178" s="9"/>
      <c r="H2178" s="9"/>
      <c r="I2178" s="9"/>
      <c r="J2178" s="9"/>
      <c r="K2178" s="9"/>
      <c r="L2178" s="9"/>
      <c r="M2178" s="9"/>
      <c r="N2178" s="9"/>
      <c r="O2178" s="9"/>
      <c r="P2178" s="9"/>
    </row>
    <row r="2179" spans="2:16" x14ac:dyDescent="0.2">
      <c r="B2179" s="9"/>
      <c r="C2179" s="9"/>
      <c r="D2179" s="9"/>
      <c r="E2179" s="9"/>
      <c r="F2179" s="9"/>
      <c r="G2179" s="9"/>
      <c r="H2179" s="9"/>
      <c r="I2179" s="9"/>
      <c r="J2179" s="9"/>
      <c r="K2179" s="9"/>
      <c r="L2179" s="9"/>
      <c r="M2179" s="9"/>
      <c r="N2179" s="9"/>
      <c r="O2179" s="9"/>
      <c r="P2179" s="9"/>
    </row>
    <row r="2180" spans="2:16" x14ac:dyDescent="0.2">
      <c r="B2180" s="9"/>
      <c r="C2180" s="9"/>
      <c r="D2180" s="9"/>
      <c r="E2180" s="9"/>
      <c r="F2180" s="9"/>
      <c r="G2180" s="9"/>
      <c r="H2180" s="9"/>
      <c r="I2180" s="9"/>
      <c r="J2180" s="9"/>
      <c r="K2180" s="9"/>
      <c r="L2180" s="9"/>
      <c r="M2180" s="9"/>
      <c r="N2180" s="9"/>
      <c r="O2180" s="9"/>
      <c r="P2180" s="9"/>
    </row>
    <row r="2181" spans="2:16" x14ac:dyDescent="0.2">
      <c r="B2181" s="9"/>
      <c r="C2181" s="9"/>
      <c r="D2181" s="9"/>
      <c r="E2181" s="9"/>
      <c r="F2181" s="9"/>
      <c r="G2181" s="9"/>
      <c r="H2181" s="9"/>
      <c r="I2181" s="9"/>
      <c r="J2181" s="9"/>
      <c r="K2181" s="9"/>
      <c r="L2181" s="9"/>
      <c r="M2181" s="9"/>
      <c r="N2181" s="9"/>
      <c r="O2181" s="9"/>
      <c r="P2181" s="9"/>
    </row>
    <row r="2182" spans="2:16" x14ac:dyDescent="0.2">
      <c r="B2182" s="9"/>
      <c r="C2182" s="9"/>
      <c r="D2182" s="9"/>
      <c r="E2182" s="9"/>
      <c r="F2182" s="9"/>
      <c r="G2182" s="9"/>
      <c r="H2182" s="9"/>
      <c r="I2182" s="9"/>
      <c r="J2182" s="9"/>
      <c r="K2182" s="9"/>
      <c r="L2182" s="9"/>
      <c r="M2182" s="9"/>
      <c r="N2182" s="9"/>
      <c r="O2182" s="9"/>
      <c r="P2182" s="9"/>
    </row>
    <row r="2183" spans="2:16" x14ac:dyDescent="0.2">
      <c r="B2183" s="9"/>
      <c r="C2183" s="9"/>
      <c r="D2183" s="9"/>
      <c r="E2183" s="9"/>
      <c r="F2183" s="9"/>
      <c r="G2183" s="9"/>
      <c r="H2183" s="9"/>
      <c r="I2183" s="9"/>
      <c r="J2183" s="9"/>
      <c r="K2183" s="9"/>
      <c r="L2183" s="9"/>
      <c r="M2183" s="9"/>
      <c r="N2183" s="9"/>
      <c r="O2183" s="9"/>
      <c r="P2183" s="9"/>
    </row>
    <row r="2184" spans="2:16" x14ac:dyDescent="0.2">
      <c r="B2184" s="9"/>
      <c r="C2184" s="9"/>
      <c r="D2184" s="9"/>
      <c r="E2184" s="9"/>
      <c r="F2184" s="9"/>
      <c r="G2184" s="9"/>
      <c r="H2184" s="9"/>
      <c r="I2184" s="9"/>
      <c r="J2184" s="9"/>
      <c r="K2184" s="9"/>
      <c r="L2184" s="9"/>
      <c r="M2184" s="9"/>
      <c r="N2184" s="9"/>
      <c r="O2184" s="9"/>
      <c r="P2184" s="9"/>
    </row>
    <row r="2185" spans="2:16" x14ac:dyDescent="0.2">
      <c r="B2185" s="9"/>
      <c r="C2185" s="9"/>
      <c r="D2185" s="9"/>
      <c r="E2185" s="9"/>
      <c r="F2185" s="9"/>
      <c r="G2185" s="9"/>
      <c r="H2185" s="9"/>
      <c r="I2185" s="9"/>
      <c r="J2185" s="9"/>
      <c r="K2185" s="9"/>
      <c r="L2185" s="9"/>
      <c r="M2185" s="9"/>
      <c r="N2185" s="9"/>
      <c r="O2185" s="9"/>
      <c r="P2185" s="9"/>
    </row>
    <row r="2186" spans="2:16" x14ac:dyDescent="0.2">
      <c r="B2186" s="9"/>
      <c r="C2186" s="9"/>
      <c r="D2186" s="9"/>
      <c r="E2186" s="9"/>
      <c r="F2186" s="9"/>
      <c r="G2186" s="9"/>
      <c r="H2186" s="9"/>
      <c r="I2186" s="9"/>
      <c r="J2186" s="9"/>
      <c r="K2186" s="9"/>
      <c r="L2186" s="9"/>
      <c r="M2186" s="9"/>
      <c r="N2186" s="9"/>
      <c r="O2186" s="9"/>
      <c r="P2186" s="9"/>
    </row>
    <row r="2187" spans="2:16" x14ac:dyDescent="0.2">
      <c r="B2187" s="9"/>
      <c r="C2187" s="9"/>
      <c r="D2187" s="9"/>
      <c r="E2187" s="9"/>
      <c r="F2187" s="9"/>
      <c r="G2187" s="9"/>
      <c r="H2187" s="9"/>
      <c r="I2187" s="9"/>
      <c r="J2187" s="9"/>
      <c r="K2187" s="9"/>
      <c r="L2187" s="9"/>
      <c r="M2187" s="9"/>
      <c r="N2187" s="9"/>
      <c r="O2187" s="9"/>
      <c r="P2187" s="9"/>
    </row>
    <row r="2188" spans="2:16" x14ac:dyDescent="0.2">
      <c r="B2188" s="9"/>
      <c r="C2188" s="9"/>
      <c r="D2188" s="9"/>
      <c r="E2188" s="9"/>
      <c r="F2188" s="9"/>
      <c r="G2188" s="9"/>
      <c r="H2188" s="9"/>
      <c r="I2188" s="9"/>
      <c r="J2188" s="9"/>
      <c r="K2188" s="9"/>
      <c r="L2188" s="9"/>
      <c r="M2188" s="9"/>
      <c r="N2188" s="9"/>
      <c r="O2188" s="9"/>
      <c r="P2188" s="9"/>
    </row>
    <row r="2189" spans="2:16" x14ac:dyDescent="0.2">
      <c r="B2189" s="9"/>
      <c r="C2189" s="9"/>
      <c r="D2189" s="9"/>
      <c r="E2189" s="9"/>
      <c r="F2189" s="9"/>
      <c r="G2189" s="9"/>
      <c r="H2189" s="9"/>
      <c r="I2189" s="9"/>
      <c r="J2189" s="9"/>
      <c r="K2189" s="9"/>
      <c r="L2189" s="9"/>
      <c r="M2189" s="9"/>
      <c r="N2189" s="9"/>
      <c r="O2189" s="9"/>
      <c r="P2189" s="9"/>
    </row>
    <row r="2190" spans="2:16" x14ac:dyDescent="0.2">
      <c r="B2190" s="9"/>
      <c r="C2190" s="9"/>
      <c r="D2190" s="9"/>
      <c r="E2190" s="9"/>
      <c r="F2190" s="9"/>
      <c r="G2190" s="9"/>
      <c r="H2190" s="9"/>
      <c r="I2190" s="9"/>
      <c r="J2190" s="9"/>
      <c r="K2190" s="9"/>
      <c r="L2190" s="9"/>
      <c r="M2190" s="9"/>
      <c r="N2190" s="9"/>
      <c r="O2190" s="9"/>
      <c r="P2190" s="9"/>
    </row>
    <row r="2191" spans="2:16" x14ac:dyDescent="0.2">
      <c r="B2191" s="9"/>
      <c r="C2191" s="9"/>
      <c r="D2191" s="9"/>
      <c r="E2191" s="9"/>
      <c r="F2191" s="9"/>
      <c r="G2191" s="9"/>
      <c r="H2191" s="9"/>
      <c r="I2191" s="9"/>
      <c r="J2191" s="9"/>
      <c r="K2191" s="9"/>
      <c r="L2191" s="9"/>
      <c r="M2191" s="9"/>
      <c r="N2191" s="9"/>
      <c r="O2191" s="9"/>
      <c r="P2191" s="9"/>
    </row>
    <row r="2192" spans="2:16" x14ac:dyDescent="0.2">
      <c r="B2192" s="9"/>
      <c r="C2192" s="9"/>
      <c r="D2192" s="9"/>
      <c r="E2192" s="9"/>
      <c r="F2192" s="9"/>
      <c r="G2192" s="9"/>
      <c r="H2192" s="9"/>
      <c r="I2192" s="9"/>
      <c r="J2192" s="9"/>
      <c r="K2192" s="9"/>
      <c r="L2192" s="9"/>
      <c r="M2192" s="9"/>
      <c r="N2192" s="9"/>
      <c r="O2192" s="9"/>
      <c r="P2192" s="9"/>
    </row>
    <row r="2193" spans="2:16" x14ac:dyDescent="0.2">
      <c r="B2193" s="9"/>
      <c r="C2193" s="9"/>
      <c r="D2193" s="9"/>
      <c r="E2193" s="9"/>
      <c r="F2193" s="9"/>
      <c r="G2193" s="9"/>
      <c r="H2193" s="9"/>
      <c r="I2193" s="9"/>
      <c r="J2193" s="9"/>
      <c r="K2193" s="9"/>
      <c r="L2193" s="9"/>
      <c r="M2193" s="9"/>
      <c r="N2193" s="9"/>
      <c r="O2193" s="9"/>
      <c r="P2193" s="9"/>
    </row>
    <row r="2194" spans="2:16" x14ac:dyDescent="0.2">
      <c r="B2194" s="9"/>
      <c r="C2194" s="9"/>
      <c r="D2194" s="9"/>
      <c r="E2194" s="9"/>
      <c r="F2194" s="9"/>
      <c r="G2194" s="9"/>
      <c r="H2194" s="9"/>
      <c r="I2194" s="9"/>
      <c r="J2194" s="9"/>
      <c r="K2194" s="9"/>
      <c r="L2194" s="9"/>
      <c r="M2194" s="9"/>
      <c r="N2194" s="9"/>
      <c r="O2194" s="9"/>
      <c r="P2194" s="9"/>
    </row>
    <row r="2195" spans="2:16" x14ac:dyDescent="0.2">
      <c r="B2195" s="9"/>
      <c r="C2195" s="9"/>
      <c r="D2195" s="9"/>
      <c r="E2195" s="9"/>
      <c r="F2195" s="9"/>
      <c r="G2195" s="9"/>
      <c r="H2195" s="9"/>
      <c r="I2195" s="9"/>
      <c r="J2195" s="9"/>
      <c r="K2195" s="9"/>
      <c r="L2195" s="9"/>
      <c r="M2195" s="9"/>
      <c r="N2195" s="9"/>
      <c r="O2195" s="9"/>
      <c r="P2195" s="9"/>
    </row>
    <row r="2196" spans="2:16" x14ac:dyDescent="0.2">
      <c r="B2196" s="9"/>
      <c r="C2196" s="9"/>
      <c r="D2196" s="9"/>
      <c r="E2196" s="9"/>
      <c r="F2196" s="9"/>
      <c r="G2196" s="9"/>
      <c r="H2196" s="9"/>
      <c r="I2196" s="9"/>
      <c r="J2196" s="9"/>
      <c r="K2196" s="9"/>
      <c r="L2196" s="9"/>
      <c r="M2196" s="9"/>
      <c r="N2196" s="9"/>
      <c r="O2196" s="9"/>
      <c r="P2196" s="9"/>
    </row>
    <row r="2197" spans="2:16" x14ac:dyDescent="0.2">
      <c r="B2197" s="9"/>
      <c r="C2197" s="9"/>
      <c r="D2197" s="9"/>
      <c r="E2197" s="9"/>
      <c r="F2197" s="9"/>
      <c r="G2197" s="9"/>
      <c r="H2197" s="9"/>
      <c r="I2197" s="9"/>
      <c r="J2197" s="9"/>
      <c r="K2197" s="9"/>
      <c r="L2197" s="9"/>
      <c r="M2197" s="9"/>
      <c r="N2197" s="9"/>
      <c r="O2197" s="9"/>
      <c r="P2197" s="9"/>
    </row>
    <row r="2198" spans="2:16" x14ac:dyDescent="0.2">
      <c r="B2198" s="9"/>
      <c r="C2198" s="9"/>
      <c r="D2198" s="9"/>
      <c r="E2198" s="9"/>
      <c r="F2198" s="9"/>
      <c r="G2198" s="9"/>
      <c r="H2198" s="9"/>
      <c r="I2198" s="9"/>
      <c r="J2198" s="9"/>
      <c r="K2198" s="9"/>
      <c r="L2198" s="9"/>
      <c r="M2198" s="9"/>
      <c r="N2198" s="9"/>
      <c r="O2198" s="9"/>
      <c r="P2198" s="9"/>
    </row>
    <row r="2199" spans="2:16" x14ac:dyDescent="0.2">
      <c r="B2199" s="9"/>
      <c r="C2199" s="9"/>
      <c r="D2199" s="9"/>
      <c r="E2199" s="9"/>
      <c r="F2199" s="9"/>
      <c r="G2199" s="9"/>
      <c r="H2199" s="9"/>
      <c r="I2199" s="9"/>
      <c r="J2199" s="9"/>
      <c r="K2199" s="9"/>
      <c r="L2199" s="9"/>
      <c r="M2199" s="9"/>
      <c r="N2199" s="9"/>
      <c r="O2199" s="9"/>
      <c r="P2199" s="9"/>
    </row>
    <row r="2200" spans="2:16" x14ac:dyDescent="0.2">
      <c r="B2200" s="9"/>
      <c r="C2200" s="9"/>
      <c r="D2200" s="9"/>
      <c r="E2200" s="9"/>
      <c r="F2200" s="9"/>
      <c r="G2200" s="9"/>
      <c r="H2200" s="9"/>
      <c r="I2200" s="9"/>
      <c r="J2200" s="9"/>
      <c r="K2200" s="9"/>
      <c r="L2200" s="9"/>
      <c r="M2200" s="9"/>
      <c r="N2200" s="9"/>
      <c r="O2200" s="9"/>
      <c r="P2200" s="9"/>
    </row>
    <row r="2201" spans="2:16" x14ac:dyDescent="0.2">
      <c r="B2201" s="9"/>
      <c r="C2201" s="9"/>
      <c r="D2201" s="9"/>
      <c r="E2201" s="9"/>
      <c r="F2201" s="9"/>
      <c r="G2201" s="9"/>
      <c r="H2201" s="9"/>
      <c r="I2201" s="9"/>
      <c r="J2201" s="9"/>
      <c r="K2201" s="9"/>
      <c r="L2201" s="9"/>
      <c r="M2201" s="9"/>
      <c r="N2201" s="9"/>
      <c r="O2201" s="9"/>
      <c r="P2201" s="9"/>
    </row>
    <row r="2202" spans="2:16" x14ac:dyDescent="0.2">
      <c r="B2202" s="9"/>
      <c r="C2202" s="9"/>
      <c r="D2202" s="9"/>
      <c r="E2202" s="9"/>
      <c r="F2202" s="9"/>
      <c r="G2202" s="9"/>
      <c r="H2202" s="9"/>
      <c r="I2202" s="9"/>
      <c r="J2202" s="9"/>
      <c r="K2202" s="9"/>
      <c r="L2202" s="9"/>
      <c r="M2202" s="9"/>
      <c r="N2202" s="9"/>
      <c r="O2202" s="9"/>
      <c r="P2202" s="9"/>
    </row>
    <row r="2203" spans="2:16" x14ac:dyDescent="0.2">
      <c r="B2203" s="9"/>
      <c r="C2203" s="9"/>
      <c r="D2203" s="9"/>
      <c r="E2203" s="9"/>
      <c r="F2203" s="9"/>
      <c r="G2203" s="9"/>
      <c r="H2203" s="9"/>
      <c r="I2203" s="9"/>
      <c r="J2203" s="9"/>
      <c r="K2203" s="9"/>
      <c r="L2203" s="9"/>
      <c r="M2203" s="9"/>
      <c r="N2203" s="9"/>
      <c r="O2203" s="9"/>
      <c r="P2203" s="9"/>
    </row>
    <row r="2204" spans="2:16" x14ac:dyDescent="0.2">
      <c r="B2204" s="9"/>
      <c r="C2204" s="9"/>
      <c r="D2204" s="9"/>
      <c r="E2204" s="9"/>
      <c r="F2204" s="9"/>
      <c r="G2204" s="9"/>
      <c r="H2204" s="9"/>
      <c r="I2204" s="9"/>
      <c r="J2204" s="9"/>
      <c r="K2204" s="9"/>
      <c r="L2204" s="9"/>
      <c r="M2204" s="9"/>
      <c r="N2204" s="9"/>
      <c r="O2204" s="9"/>
      <c r="P2204" s="9"/>
    </row>
    <row r="2205" spans="2:16" x14ac:dyDescent="0.2">
      <c r="B2205" s="9"/>
      <c r="C2205" s="9"/>
      <c r="D2205" s="9"/>
      <c r="E2205" s="9"/>
      <c r="F2205" s="9"/>
      <c r="G2205" s="9"/>
      <c r="H2205" s="9"/>
      <c r="I2205" s="9"/>
      <c r="J2205" s="9"/>
      <c r="K2205" s="9"/>
      <c r="L2205" s="9"/>
      <c r="M2205" s="9"/>
      <c r="N2205" s="9"/>
      <c r="O2205" s="9"/>
      <c r="P2205" s="9"/>
    </row>
    <row r="2206" spans="2:16" x14ac:dyDescent="0.2">
      <c r="B2206" s="9"/>
      <c r="C2206" s="9"/>
      <c r="D2206" s="9"/>
      <c r="E2206" s="9"/>
      <c r="F2206" s="9"/>
      <c r="G2206" s="9"/>
      <c r="H2206" s="9"/>
      <c r="I2206" s="9"/>
      <c r="J2206" s="9"/>
      <c r="K2206" s="9"/>
      <c r="L2206" s="9"/>
      <c r="M2206" s="9"/>
      <c r="N2206" s="9"/>
      <c r="O2206" s="9"/>
      <c r="P2206" s="9"/>
    </row>
    <row r="2207" spans="2:16" x14ac:dyDescent="0.2">
      <c r="B2207" s="9"/>
      <c r="C2207" s="9"/>
      <c r="D2207" s="9"/>
      <c r="E2207" s="9"/>
      <c r="F2207" s="9"/>
      <c r="G2207" s="9"/>
      <c r="H2207" s="9"/>
      <c r="I2207" s="9"/>
      <c r="J2207" s="9"/>
      <c r="K2207" s="9"/>
      <c r="L2207" s="9"/>
      <c r="M2207" s="9"/>
      <c r="N2207" s="9"/>
      <c r="O2207" s="9"/>
      <c r="P2207" s="9"/>
    </row>
    <row r="2208" spans="2:16" x14ac:dyDescent="0.2">
      <c r="B2208" s="9"/>
      <c r="C2208" s="9"/>
      <c r="D2208" s="9"/>
      <c r="E2208" s="9"/>
      <c r="F2208" s="9"/>
      <c r="G2208" s="9"/>
      <c r="H2208" s="9"/>
      <c r="I2208" s="9"/>
      <c r="J2208" s="9"/>
      <c r="K2208" s="9"/>
      <c r="L2208" s="9"/>
      <c r="M2208" s="9"/>
      <c r="N2208" s="9"/>
      <c r="O2208" s="9"/>
      <c r="P2208" s="9"/>
    </row>
    <row r="2209" spans="2:16" x14ac:dyDescent="0.2">
      <c r="B2209" s="9"/>
      <c r="C2209" s="9"/>
      <c r="D2209" s="9"/>
      <c r="E2209" s="9"/>
      <c r="F2209" s="9"/>
      <c r="G2209" s="9"/>
      <c r="H2209" s="9"/>
      <c r="I2209" s="9"/>
      <c r="J2209" s="9"/>
      <c r="K2209" s="9"/>
      <c r="L2209" s="9"/>
      <c r="M2209" s="9"/>
      <c r="N2209" s="9"/>
      <c r="O2209" s="9"/>
      <c r="P2209" s="9"/>
    </row>
    <row r="2210" spans="2:16" x14ac:dyDescent="0.2">
      <c r="B2210" s="9"/>
      <c r="C2210" s="9"/>
      <c r="D2210" s="9"/>
      <c r="E2210" s="9"/>
      <c r="F2210" s="9"/>
      <c r="G2210" s="9"/>
      <c r="H2210" s="9"/>
      <c r="I2210" s="9"/>
      <c r="J2210" s="9"/>
      <c r="K2210" s="9"/>
      <c r="L2210" s="9"/>
      <c r="M2210" s="9"/>
      <c r="N2210" s="9"/>
      <c r="O2210" s="9"/>
      <c r="P2210" s="9"/>
    </row>
    <row r="2211" spans="2:16" x14ac:dyDescent="0.2">
      <c r="B2211" s="9"/>
      <c r="C2211" s="9"/>
      <c r="D2211" s="9"/>
      <c r="E2211" s="9"/>
      <c r="F2211" s="9"/>
      <c r="G2211" s="9"/>
      <c r="H2211" s="9"/>
      <c r="I2211" s="9"/>
      <c r="J2211" s="9"/>
      <c r="K2211" s="9"/>
      <c r="L2211" s="9"/>
      <c r="M2211" s="9"/>
      <c r="N2211" s="9"/>
      <c r="O2211" s="9"/>
      <c r="P2211" s="9"/>
    </row>
    <row r="2212" spans="2:16" x14ac:dyDescent="0.2">
      <c r="B2212" s="9"/>
      <c r="C2212" s="9"/>
      <c r="D2212" s="9"/>
      <c r="E2212" s="9"/>
      <c r="F2212" s="9"/>
      <c r="G2212" s="9"/>
      <c r="H2212" s="9"/>
      <c r="I2212" s="9"/>
      <c r="J2212" s="9"/>
      <c r="K2212" s="9"/>
      <c r="L2212" s="9"/>
      <c r="M2212" s="9"/>
      <c r="N2212" s="9"/>
      <c r="O2212" s="9"/>
      <c r="P2212" s="9"/>
    </row>
    <row r="2213" spans="2:16" x14ac:dyDescent="0.2">
      <c r="B2213" s="9"/>
      <c r="C2213" s="9"/>
      <c r="D2213" s="9"/>
      <c r="E2213" s="9"/>
      <c r="F2213" s="9"/>
      <c r="G2213" s="9"/>
      <c r="H2213" s="9"/>
      <c r="I2213" s="9"/>
      <c r="J2213" s="9"/>
      <c r="K2213" s="9"/>
      <c r="L2213" s="9"/>
      <c r="M2213" s="9"/>
      <c r="N2213" s="9"/>
      <c r="O2213" s="9"/>
      <c r="P2213" s="9"/>
    </row>
    <row r="2214" spans="2:16" x14ac:dyDescent="0.2">
      <c r="B2214" s="9"/>
      <c r="C2214" s="9"/>
      <c r="D2214" s="9"/>
      <c r="E2214" s="9"/>
      <c r="F2214" s="9"/>
      <c r="G2214" s="9"/>
      <c r="H2214" s="9"/>
      <c r="I2214" s="9"/>
      <c r="J2214" s="9"/>
      <c r="K2214" s="9"/>
      <c r="L2214" s="9"/>
      <c r="M2214" s="9"/>
      <c r="N2214" s="9"/>
      <c r="O2214" s="9"/>
      <c r="P2214" s="9"/>
    </row>
    <row r="2215" spans="2:16" x14ac:dyDescent="0.2">
      <c r="B2215" s="9"/>
      <c r="C2215" s="9"/>
      <c r="D2215" s="9"/>
      <c r="E2215" s="9"/>
      <c r="F2215" s="9"/>
      <c r="G2215" s="9"/>
      <c r="H2215" s="9"/>
      <c r="I2215" s="9"/>
      <c r="J2215" s="9"/>
      <c r="K2215" s="9"/>
      <c r="L2215" s="9"/>
      <c r="M2215" s="9"/>
      <c r="N2215" s="9"/>
      <c r="O2215" s="9"/>
      <c r="P2215" s="9"/>
    </row>
    <row r="2216" spans="2:16" x14ac:dyDescent="0.2">
      <c r="B2216" s="9"/>
      <c r="C2216" s="9"/>
      <c r="D2216" s="9"/>
      <c r="E2216" s="9"/>
      <c r="F2216" s="9"/>
      <c r="G2216" s="9"/>
      <c r="H2216" s="9"/>
      <c r="I2216" s="9"/>
      <c r="J2216" s="9"/>
      <c r="K2216" s="9"/>
      <c r="L2216" s="9"/>
      <c r="M2216" s="9"/>
      <c r="N2216" s="9"/>
      <c r="O2216" s="9"/>
      <c r="P2216" s="9"/>
    </row>
    <row r="2217" spans="2:16" x14ac:dyDescent="0.2">
      <c r="B2217" s="9"/>
      <c r="C2217" s="9"/>
      <c r="D2217" s="9"/>
      <c r="E2217" s="9"/>
      <c r="F2217" s="9"/>
      <c r="G2217" s="9"/>
      <c r="H2217" s="9"/>
      <c r="I2217" s="9"/>
      <c r="J2217" s="9"/>
      <c r="K2217" s="9"/>
      <c r="L2217" s="9"/>
      <c r="M2217" s="9"/>
      <c r="N2217" s="9"/>
      <c r="O2217" s="9"/>
      <c r="P2217" s="9"/>
    </row>
    <row r="2218" spans="2:16" x14ac:dyDescent="0.2">
      <c r="B2218" s="9"/>
      <c r="C2218" s="9"/>
      <c r="D2218" s="9"/>
      <c r="E2218" s="9"/>
      <c r="F2218" s="9"/>
      <c r="G2218" s="9"/>
      <c r="H2218" s="9"/>
      <c r="I2218" s="9"/>
      <c r="J2218" s="9"/>
      <c r="K2218" s="9"/>
      <c r="L2218" s="9"/>
      <c r="M2218" s="9"/>
      <c r="N2218" s="9"/>
      <c r="O2218" s="9"/>
      <c r="P2218" s="9"/>
    </row>
    <row r="2219" spans="2:16" x14ac:dyDescent="0.2">
      <c r="B2219" s="9"/>
      <c r="C2219" s="9"/>
      <c r="D2219" s="9"/>
      <c r="E2219" s="9"/>
      <c r="F2219" s="9"/>
      <c r="G2219" s="9"/>
      <c r="H2219" s="9"/>
      <c r="I2219" s="9"/>
      <c r="J2219" s="9"/>
      <c r="K2219" s="9"/>
      <c r="L2219" s="9"/>
      <c r="M2219" s="9"/>
      <c r="N2219" s="9"/>
      <c r="O2219" s="9"/>
      <c r="P2219" s="9"/>
    </row>
    <row r="2220" spans="2:16" x14ac:dyDescent="0.2">
      <c r="B2220" s="9"/>
      <c r="C2220" s="9"/>
      <c r="D2220" s="9"/>
      <c r="E2220" s="9"/>
      <c r="F2220" s="9"/>
      <c r="G2220" s="9"/>
      <c r="H2220" s="9"/>
      <c r="I2220" s="9"/>
      <c r="J2220" s="9"/>
      <c r="K2220" s="9"/>
      <c r="L2220" s="9"/>
      <c r="M2220" s="9"/>
      <c r="N2220" s="9"/>
      <c r="O2220" s="9"/>
      <c r="P2220" s="9"/>
    </row>
    <row r="2221" spans="2:16" x14ac:dyDescent="0.2">
      <c r="B2221" s="9"/>
      <c r="C2221" s="9"/>
      <c r="D2221" s="9"/>
      <c r="E2221" s="9"/>
      <c r="F2221" s="9"/>
      <c r="G2221" s="9"/>
      <c r="H2221" s="9"/>
      <c r="I2221" s="9"/>
      <c r="J2221" s="9"/>
      <c r="K2221" s="9"/>
      <c r="L2221" s="9"/>
      <c r="M2221" s="9"/>
      <c r="N2221" s="9"/>
      <c r="O2221" s="9"/>
      <c r="P2221" s="9"/>
    </row>
    <row r="2222" spans="2:16" x14ac:dyDescent="0.2">
      <c r="B2222" s="9"/>
      <c r="C2222" s="9"/>
      <c r="D2222" s="9"/>
      <c r="E2222" s="9"/>
      <c r="F2222" s="9"/>
      <c r="G2222" s="9"/>
      <c r="H2222" s="9"/>
      <c r="I2222" s="9"/>
      <c r="J2222" s="9"/>
      <c r="K2222" s="9"/>
      <c r="L2222" s="9"/>
      <c r="M2222" s="9"/>
      <c r="N2222" s="9"/>
      <c r="O2222" s="9"/>
      <c r="P2222" s="9"/>
    </row>
    <row r="2223" spans="2:16" x14ac:dyDescent="0.2">
      <c r="B2223" s="9"/>
      <c r="C2223" s="9"/>
      <c r="D2223" s="9"/>
      <c r="E2223" s="9"/>
      <c r="F2223" s="9"/>
      <c r="G2223" s="9"/>
      <c r="H2223" s="9"/>
      <c r="I2223" s="9"/>
      <c r="J2223" s="9"/>
      <c r="K2223" s="9"/>
      <c r="L2223" s="9"/>
      <c r="M2223" s="9"/>
      <c r="N2223" s="9"/>
      <c r="O2223" s="9"/>
      <c r="P2223" s="9"/>
    </row>
    <row r="2224" spans="2:16" x14ac:dyDescent="0.2">
      <c r="B2224" s="9"/>
      <c r="C2224" s="9"/>
      <c r="D2224" s="9"/>
      <c r="E2224" s="9"/>
      <c r="F2224" s="9"/>
      <c r="G2224" s="9"/>
      <c r="H2224" s="9"/>
      <c r="I2224" s="9"/>
      <c r="J2224" s="9"/>
      <c r="K2224" s="9"/>
      <c r="L2224" s="9"/>
      <c r="M2224" s="9"/>
      <c r="N2224" s="9"/>
      <c r="O2224" s="9"/>
      <c r="P2224" s="9"/>
    </row>
    <row r="2225" spans="2:16" x14ac:dyDescent="0.2">
      <c r="B2225" s="9"/>
      <c r="C2225" s="9"/>
      <c r="D2225" s="9"/>
      <c r="E2225" s="9"/>
      <c r="F2225" s="9"/>
      <c r="G2225" s="9"/>
      <c r="H2225" s="9"/>
      <c r="I2225" s="9"/>
      <c r="J2225" s="9"/>
      <c r="K2225" s="9"/>
      <c r="L2225" s="9"/>
      <c r="M2225" s="9"/>
      <c r="N2225" s="9"/>
      <c r="O2225" s="9"/>
      <c r="P2225" s="9"/>
    </row>
    <row r="2226" spans="2:16" x14ac:dyDescent="0.2">
      <c r="B2226" s="9"/>
      <c r="C2226" s="9"/>
      <c r="D2226" s="9"/>
      <c r="E2226" s="9"/>
      <c r="F2226" s="9"/>
      <c r="G2226" s="9"/>
      <c r="H2226" s="9"/>
      <c r="I2226" s="9"/>
      <c r="J2226" s="9"/>
      <c r="K2226" s="9"/>
      <c r="L2226" s="9"/>
      <c r="M2226" s="9"/>
      <c r="N2226" s="9"/>
      <c r="O2226" s="9"/>
      <c r="P2226" s="9"/>
    </row>
    <row r="2227" spans="2:16" x14ac:dyDescent="0.2">
      <c r="B2227" s="9"/>
      <c r="C2227" s="9"/>
      <c r="D2227" s="9"/>
      <c r="E2227" s="9"/>
      <c r="F2227" s="9"/>
      <c r="G2227" s="9"/>
      <c r="H2227" s="9"/>
      <c r="I2227" s="9"/>
      <c r="J2227" s="9"/>
      <c r="K2227" s="9"/>
      <c r="L2227" s="9"/>
      <c r="M2227" s="9"/>
      <c r="N2227" s="9"/>
      <c r="O2227" s="9"/>
      <c r="P2227" s="9"/>
    </row>
    <row r="2228" spans="2:16" x14ac:dyDescent="0.2">
      <c r="B2228" s="9"/>
      <c r="C2228" s="9"/>
      <c r="D2228" s="9"/>
      <c r="E2228" s="9"/>
      <c r="F2228" s="9"/>
      <c r="G2228" s="9"/>
      <c r="H2228" s="9"/>
      <c r="I2228" s="9"/>
      <c r="J2228" s="9"/>
      <c r="K2228" s="9"/>
      <c r="L2228" s="9"/>
      <c r="M2228" s="9"/>
      <c r="N2228" s="9"/>
      <c r="O2228" s="9"/>
      <c r="P2228" s="9"/>
    </row>
    <row r="2229" spans="2:16" x14ac:dyDescent="0.2">
      <c r="B2229" s="9"/>
      <c r="C2229" s="9"/>
      <c r="D2229" s="9"/>
      <c r="E2229" s="9"/>
      <c r="F2229" s="9"/>
      <c r="G2229" s="9"/>
      <c r="H2229" s="9"/>
      <c r="I2229" s="9"/>
      <c r="J2229" s="9"/>
      <c r="K2229" s="9"/>
      <c r="L2229" s="9"/>
      <c r="M2229" s="9"/>
      <c r="N2229" s="9"/>
      <c r="O2229" s="9"/>
      <c r="P2229" s="9"/>
    </row>
    <row r="2230" spans="2:16" x14ac:dyDescent="0.2">
      <c r="B2230" s="9"/>
      <c r="C2230" s="9"/>
      <c r="D2230" s="9"/>
      <c r="E2230" s="9"/>
      <c r="F2230" s="9"/>
      <c r="G2230" s="9"/>
      <c r="H2230" s="9"/>
      <c r="I2230" s="9"/>
      <c r="J2230" s="9"/>
      <c r="K2230" s="9"/>
      <c r="L2230" s="9"/>
      <c r="M2230" s="9"/>
      <c r="N2230" s="9"/>
      <c r="O2230" s="9"/>
      <c r="P2230" s="9"/>
    </row>
    <row r="2231" spans="2:16" x14ac:dyDescent="0.2">
      <c r="B2231" s="9"/>
      <c r="C2231" s="9"/>
      <c r="D2231" s="9"/>
      <c r="E2231" s="9"/>
      <c r="F2231" s="9"/>
      <c r="G2231" s="9"/>
      <c r="H2231" s="9"/>
      <c r="I2231" s="9"/>
      <c r="J2231" s="9"/>
      <c r="K2231" s="9"/>
      <c r="L2231" s="9"/>
      <c r="M2231" s="9"/>
      <c r="N2231" s="9"/>
      <c r="O2231" s="9"/>
      <c r="P2231" s="9"/>
    </row>
  </sheetData>
  <sheetProtection algorithmName="SHA-512" hashValue="s2nuMDfhXu4FATD2S6hAKJuqtzkbnsZowttnmmPo4tlU8sHZahrGMRVPQzceR2mfAzmTVWSy4fqT2YfQdhEyew==" saltValue="+5T1rZ+3vo6Iddg1+cFAxg==" spinCount="100000" sheet="1" objects="1" scenarios="1"/>
  <customSheetViews>
    <customSheetView guid="{D18E9169-ADA2-4392-B488-25F4D67B7B23}" showGridLines="0" showRowCol="0">
      <selection activeCell="E39" sqref="E39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89F529CE-CEE2-4840-81F9-3A5B94AB5264}" showGridLines="0" showRowCol="0">
      <pageMargins left="0.511811024" right="0.511811024" top="0.78740157499999996" bottom="0.78740157499999996" header="0.31496062000000002" footer="0.31496062000000002"/>
      <pageSetup paperSize="9" orientation="portrait" r:id="rId2"/>
    </customSheetView>
    <customSheetView guid="{F8BE6937-468A-4F6A-8E70-5AA120E9866E}" showGridLines="0" showRowCol="0">
      <pageMargins left="0.511811024" right="0.511811024" top="0.78740157499999996" bottom="0.78740157499999996" header="0.31496062000000002" footer="0.31496062000000002"/>
      <pageSetup paperSize="9" orientation="portrait" r:id="rId3"/>
    </customSheetView>
    <customSheetView guid="{0E0A957C-04A9-42C8-ABA3-3513FC1F301B}" showGridLines="0" showRowCol="0">
      <selection activeCell="F18" sqref="F18:F19"/>
      <pageMargins left="0.511811024" right="0.511811024" top="0.78740157499999996" bottom="0.78740157499999996" header="0.31496062000000002" footer="0.31496062000000002"/>
      <pageSetup paperSize="9" orientation="portrait" r:id="rId4"/>
    </customSheetView>
    <customSheetView guid="{49F7AF24-77AB-4269-A110-0D2F07E12FB4}" showGridLines="0" showRowCol="0">
      <pageMargins left="0.511811024" right="0.511811024" top="0.78740157499999996" bottom="0.78740157499999996" header="0.31496062000000002" footer="0.31496062000000002"/>
      <pageSetup paperSize="9" orientation="portrait" r:id="rId5"/>
    </customSheetView>
    <customSheetView guid="{52DD4558-3C21-4CE8-A3CE-4A7295AB0882}" showGridLines="0" showRowCol="0">
      <selection activeCell="F18" sqref="F18:F19"/>
      <pageMargins left="0.511811024" right="0.511811024" top="0.78740157499999996" bottom="0.78740157499999996" header="0.31496062000000002" footer="0.31496062000000002"/>
      <pageSetup paperSize="9" orientation="portrait" r:id="rId6"/>
    </customSheetView>
    <customSheetView guid="{05BCE999-CA29-460C-9019-42DEAB5D08DA}" showGridLines="0" showRowCol="0">
      <selection activeCell="H18" sqref="H18:H19"/>
      <pageMargins left="0.511811024" right="0.511811024" top="0.78740157499999996" bottom="0.78740157499999996" header="0.31496062000000002" footer="0.31496062000000002"/>
      <pageSetup paperSize="9" orientation="portrait" r:id="rId7"/>
    </customSheetView>
    <customSheetView guid="{E5F88B68-4013-43BC-91FC-4D1B4BE2D858}" showGridLines="0" showRowCol="0">
      <pageMargins left="0.511811024" right="0.511811024" top="0.78740157499999996" bottom="0.78740157499999996" header="0.31496062000000002" footer="0.31496062000000002"/>
      <pageSetup paperSize="9" orientation="portrait" r:id="rId8"/>
    </customSheetView>
    <customSheetView guid="{748ECF6D-D04A-4335-B743-F87DF6CB7A38}" showGridLines="0" showRowCol="0">
      <selection activeCell="F18" sqref="F18:F19"/>
      <pageMargins left="0.511811024" right="0.511811024" top="0.78740157499999996" bottom="0.78740157499999996" header="0.31496062000000002" footer="0.31496062000000002"/>
      <pageSetup paperSize="9" orientation="portrait" r:id="rId9"/>
    </customSheetView>
    <customSheetView guid="{74C1666D-8424-4791-9A03-96D64996021D}" showGridLines="0" showRowCol="0">
      <selection activeCell="I18" sqref="I18"/>
      <pageMargins left="0.511811024" right="0.511811024" top="0.78740157499999996" bottom="0.78740157499999996" header="0.31496062000000002" footer="0.31496062000000002"/>
      <pageSetup paperSize="9" orientation="portrait" r:id="rId10"/>
    </customSheetView>
  </customSheetViews>
  <mergeCells count="19">
    <mergeCell ref="A2:S5"/>
    <mergeCell ref="E24:E25"/>
    <mergeCell ref="D24:D25"/>
    <mergeCell ref="F18:F19"/>
    <mergeCell ref="H18:H19"/>
    <mergeCell ref="L24:L25"/>
    <mergeCell ref="H14:H17"/>
    <mergeCell ref="F14:F17"/>
    <mergeCell ref="G23:H23"/>
    <mergeCell ref="I23:J23"/>
    <mergeCell ref="I24:I25"/>
    <mergeCell ref="J24:J25"/>
    <mergeCell ref="K23:L23"/>
    <mergeCell ref="K24:K25"/>
    <mergeCell ref="M27:N27"/>
    <mergeCell ref="F24:F25"/>
    <mergeCell ref="G24:G25"/>
    <mergeCell ref="H24:H25"/>
    <mergeCell ref="D31:L32"/>
  </mergeCells>
  <conditionalFormatting sqref="D31:L31">
    <cfRule type="containsText" dxfId="0" priority="1" operator="containsText" text="NÃO SALVE A PLANILHA">
      <formula>NOT(ISERROR(SEARCH("NÃO SALVE A PLANILHA",D31)))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1"/>
  <drawing r:id="rId12"/>
  <legacyDrawing r:id="rId1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4" name="Group Box 1">
              <controlPr defaultSize="0" autoFill="0" autoPict="0">
                <anchor moveWithCells="1">
                  <from>
                    <xdr:col>4</xdr:col>
                    <xdr:colOff>3648075</xdr:colOff>
                    <xdr:row>12</xdr:row>
                    <xdr:rowOff>38100</xdr:rowOff>
                  </from>
                  <to>
                    <xdr:col>8</xdr:col>
                    <xdr:colOff>57150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1:R4"/>
  <sheetViews>
    <sheetView workbookViewId="0">
      <selection activeCell="A42" sqref="A42"/>
    </sheetView>
  </sheetViews>
  <sheetFormatPr defaultRowHeight="12.75" x14ac:dyDescent="0.2"/>
  <cols>
    <col min="1" max="1" width="51.6640625" customWidth="1"/>
  </cols>
  <sheetData>
    <row r="1" spans="2:18" x14ac:dyDescent="0.2">
      <c r="B1" s="77" t="s">
        <v>43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4"/>
      <c r="Q1" s="94"/>
      <c r="R1" s="94"/>
    </row>
    <row r="2" spans="2:18" x14ac:dyDescent="0.2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4"/>
      <c r="Q2" s="94"/>
      <c r="R2" s="94"/>
    </row>
    <row r="3" spans="2:18" x14ac:dyDescent="0.2">
      <c r="B3" s="93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4"/>
      <c r="Q3" s="94"/>
      <c r="R3" s="94"/>
    </row>
    <row r="4" spans="2:18" x14ac:dyDescent="0.2"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  <c r="O4" s="95"/>
      <c r="P4" s="94"/>
      <c r="Q4" s="94"/>
      <c r="R4" s="94"/>
    </row>
  </sheetData>
  <customSheetViews>
    <customSheetView guid="{D18E9169-ADA2-4392-B488-25F4D67B7B23}" state="hidden">
      <selection activeCell="A42" sqref="A42"/>
      <pageMargins left="0.511811024" right="0.511811024" top="0.78740157499999996" bottom="0.78740157499999996" header="0.31496062000000002" footer="0.31496062000000002"/>
    </customSheetView>
    <customSheetView guid="{89F529CE-CEE2-4840-81F9-3A5B94AB5264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F8BE6937-468A-4F6A-8E70-5AA120E9866E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0E0A957C-04A9-42C8-ABA3-3513FC1F301B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49F7AF24-77AB-4269-A110-0D2F07E12FB4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52DD4558-3C21-4CE8-A3CE-4A7295AB0882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05BCE999-CA29-460C-9019-42DEAB5D08DA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E5F88B68-4013-43BC-91FC-4D1B4BE2D858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748ECF6D-D04A-4335-B743-F87DF6CB7A38}" state="hidden" topLeftCell="A7">
      <selection activeCell="A42" sqref="A42"/>
      <pageMargins left="0.511811024" right="0.511811024" top="0.78740157499999996" bottom="0.78740157499999996" header="0.31496062000000002" footer="0.31496062000000002"/>
    </customSheetView>
    <customSheetView guid="{74C1666D-8424-4791-9A03-96D64996021D}" state="hidden">
      <selection activeCell="A42" sqref="A42"/>
      <pageMargins left="0.511811024" right="0.511811024" top="0.78740157499999996" bottom="0.78740157499999996" header="0.31496062000000002" footer="0.31496062000000002"/>
    </customSheetView>
  </customSheetViews>
  <mergeCells count="1">
    <mergeCell ref="B1:R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exibir_Ribbons">
                <anchor moveWithCells="1" sizeWithCells="1">
                  <from>
                    <xdr:col>10</xdr:col>
                    <xdr:colOff>304800</xdr:colOff>
                    <xdr:row>7</xdr:row>
                    <xdr:rowOff>66675</xdr:rowOff>
                  </from>
                  <to>
                    <xdr:col>12</xdr:col>
                    <xdr:colOff>123825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cultar_Ribbons">
                <anchor moveWithCells="1" sizeWithCells="1">
                  <from>
                    <xdr:col>8</xdr:col>
                    <xdr:colOff>133350</xdr:colOff>
                    <xdr:row>7</xdr:row>
                    <xdr:rowOff>66675</xdr:rowOff>
                  </from>
                  <to>
                    <xdr:col>9</xdr:col>
                    <xdr:colOff>485775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221"/>
  <sheetViews>
    <sheetView topLeftCell="A109" workbookViewId="0">
      <selection activeCell="L130" sqref="L130"/>
    </sheetView>
  </sheetViews>
  <sheetFormatPr defaultRowHeight="15" x14ac:dyDescent="0.25"/>
  <cols>
    <col min="1" max="1" width="9.33203125" style="21"/>
    <col min="2" max="2" width="25" style="21" customWidth="1"/>
    <col min="3" max="16384" width="9.33203125" style="21"/>
  </cols>
  <sheetData>
    <row r="1" spans="1:7" x14ac:dyDescent="0.25">
      <c r="A1" s="19" t="s">
        <v>36</v>
      </c>
      <c r="B1" s="20" t="s">
        <v>115</v>
      </c>
      <c r="C1" s="20"/>
      <c r="D1" s="20"/>
      <c r="E1" s="20"/>
      <c r="F1" s="20"/>
      <c r="G1" s="19" t="s">
        <v>45</v>
      </c>
    </row>
    <row r="2" spans="1:7" x14ac:dyDescent="0.25">
      <c r="A2" s="22">
        <v>590738</v>
      </c>
      <c r="B2" s="99" t="s">
        <v>0</v>
      </c>
      <c r="C2" s="99"/>
      <c r="D2" s="99"/>
      <c r="E2" s="99"/>
      <c r="F2" s="99"/>
      <c r="G2" s="23">
        <v>6245</v>
      </c>
    </row>
    <row r="3" spans="1:7" x14ac:dyDescent="0.25">
      <c r="A3" s="22">
        <v>544540</v>
      </c>
      <c r="B3" s="99" t="s">
        <v>1</v>
      </c>
      <c r="C3" s="99"/>
      <c r="D3" s="99"/>
      <c r="E3" s="99"/>
      <c r="F3" s="99"/>
      <c r="G3" s="24">
        <v>9001</v>
      </c>
    </row>
    <row r="4" spans="1:7" x14ac:dyDescent="0.25">
      <c r="A4" s="22">
        <v>630349</v>
      </c>
      <c r="B4" s="99" t="s">
        <v>2</v>
      </c>
      <c r="C4" s="99"/>
      <c r="D4" s="99"/>
      <c r="E4" s="99"/>
      <c r="F4" s="99"/>
      <c r="G4" s="24">
        <v>1971</v>
      </c>
    </row>
    <row r="5" spans="1:7" x14ac:dyDescent="0.25">
      <c r="A5" s="22">
        <v>316288</v>
      </c>
      <c r="B5" s="99" t="s">
        <v>3</v>
      </c>
      <c r="C5" s="99"/>
      <c r="D5" s="99"/>
      <c r="E5" s="99"/>
      <c r="F5" s="99"/>
      <c r="G5" s="23">
        <v>4618</v>
      </c>
    </row>
    <row r="6" spans="1:7" x14ac:dyDescent="0.25">
      <c r="A6" s="22">
        <v>404926</v>
      </c>
      <c r="B6" s="99" t="s">
        <v>4</v>
      </c>
      <c r="C6" s="99"/>
      <c r="D6" s="99"/>
      <c r="E6" s="99"/>
      <c r="F6" s="99"/>
      <c r="G6" s="23">
        <v>9475</v>
      </c>
    </row>
    <row r="7" spans="1:7" x14ac:dyDescent="0.25">
      <c r="A7" s="22">
        <v>519863</v>
      </c>
      <c r="B7" s="99" t="s">
        <v>5</v>
      </c>
      <c r="C7" s="99"/>
      <c r="D7" s="99"/>
      <c r="E7" s="99"/>
      <c r="F7" s="99"/>
      <c r="G7" s="23">
        <v>3714</v>
      </c>
    </row>
    <row r="8" spans="1:7" x14ac:dyDescent="0.25">
      <c r="A8" s="22">
        <v>259489</v>
      </c>
      <c r="B8" s="99" t="s">
        <v>6</v>
      </c>
      <c r="C8" s="99"/>
      <c r="D8" s="99"/>
      <c r="E8" s="99"/>
      <c r="F8" s="99"/>
      <c r="G8" s="23">
        <v>1420</v>
      </c>
    </row>
    <row r="9" spans="1:7" x14ac:dyDescent="0.25">
      <c r="A9" s="22">
        <v>539139</v>
      </c>
      <c r="B9" s="99" t="s">
        <v>7</v>
      </c>
      <c r="C9" s="99"/>
      <c r="D9" s="99"/>
      <c r="E9" s="99"/>
      <c r="F9" s="99"/>
      <c r="G9" s="23">
        <v>9273</v>
      </c>
    </row>
    <row r="10" spans="1:7" x14ac:dyDescent="0.25">
      <c r="A10" s="22">
        <v>425770</v>
      </c>
      <c r="B10" s="99" t="s">
        <v>8</v>
      </c>
      <c r="C10" s="99"/>
      <c r="D10" s="99"/>
      <c r="E10" s="99"/>
      <c r="F10" s="99"/>
      <c r="G10" s="23">
        <v>5740</v>
      </c>
    </row>
    <row r="11" spans="1:7" x14ac:dyDescent="0.25">
      <c r="A11" s="22">
        <v>258253</v>
      </c>
      <c r="B11" s="99" t="s">
        <v>9</v>
      </c>
      <c r="C11" s="99"/>
      <c r="D11" s="99"/>
      <c r="E11" s="99"/>
      <c r="F11" s="99"/>
      <c r="G11" s="23">
        <v>2033</v>
      </c>
    </row>
    <row r="12" spans="1:7" x14ac:dyDescent="0.25">
      <c r="A12" s="22">
        <v>16004</v>
      </c>
      <c r="B12" s="99" t="s">
        <v>10</v>
      </c>
      <c r="C12" s="99"/>
      <c r="D12" s="99"/>
      <c r="E12" s="99"/>
      <c r="F12" s="99"/>
      <c r="G12" s="23">
        <v>3394</v>
      </c>
    </row>
    <row r="13" spans="1:7" x14ac:dyDescent="0.25">
      <c r="A13" s="22">
        <v>409774</v>
      </c>
      <c r="B13" s="99" t="s">
        <v>11</v>
      </c>
      <c r="C13" s="99"/>
      <c r="D13" s="99"/>
      <c r="E13" s="99"/>
      <c r="F13" s="99"/>
      <c r="G13" s="23">
        <v>9410</v>
      </c>
    </row>
    <row r="14" spans="1:7" x14ac:dyDescent="0.25">
      <c r="A14" s="22">
        <v>50687</v>
      </c>
      <c r="B14" s="99" t="s">
        <v>12</v>
      </c>
      <c r="C14" s="99"/>
      <c r="D14" s="99"/>
      <c r="E14" s="99"/>
      <c r="F14" s="99"/>
      <c r="G14" s="23">
        <v>7870</v>
      </c>
    </row>
    <row r="15" spans="1:7" x14ac:dyDescent="0.25">
      <c r="A15" s="22">
        <v>403792</v>
      </c>
      <c r="B15" s="99" t="s">
        <v>13</v>
      </c>
      <c r="C15" s="99"/>
      <c r="D15" s="99"/>
      <c r="E15" s="99"/>
      <c r="F15" s="99"/>
      <c r="G15" s="23">
        <v>8016</v>
      </c>
    </row>
    <row r="16" spans="1:7" x14ac:dyDescent="0.25">
      <c r="A16" s="22">
        <v>608017</v>
      </c>
      <c r="B16" s="99" t="s">
        <v>14</v>
      </c>
      <c r="C16" s="99"/>
      <c r="D16" s="99"/>
      <c r="E16" s="99"/>
      <c r="F16" s="99"/>
      <c r="G16" s="24">
        <v>2310</v>
      </c>
    </row>
    <row r="17" spans="1:7" x14ac:dyDescent="0.25">
      <c r="A17" s="25">
        <v>308846</v>
      </c>
      <c r="B17" s="100" t="s">
        <v>15</v>
      </c>
      <c r="C17" s="100"/>
      <c r="D17" s="100"/>
      <c r="E17" s="100"/>
      <c r="F17" s="100"/>
      <c r="G17" s="26">
        <v>1621</v>
      </c>
    </row>
    <row r="18" spans="1:7" x14ac:dyDescent="0.25">
      <c r="A18" s="25">
        <v>245437</v>
      </c>
      <c r="B18" s="100" t="s">
        <v>16</v>
      </c>
      <c r="C18" s="100"/>
      <c r="D18" s="100"/>
      <c r="E18" s="100"/>
      <c r="F18" s="100"/>
      <c r="G18" s="26">
        <v>2311</v>
      </c>
    </row>
    <row r="19" spans="1:7" x14ac:dyDescent="0.25">
      <c r="A19" s="25">
        <v>530719</v>
      </c>
      <c r="B19" s="100" t="s">
        <v>17</v>
      </c>
      <c r="C19" s="100"/>
      <c r="D19" s="100"/>
      <c r="E19" s="100"/>
      <c r="F19" s="100"/>
      <c r="G19" s="26">
        <v>7253</v>
      </c>
    </row>
    <row r="20" spans="1:7" x14ac:dyDescent="0.25">
      <c r="A20" s="25">
        <v>408514</v>
      </c>
      <c r="B20" s="100" t="s">
        <v>18</v>
      </c>
      <c r="C20" s="100"/>
      <c r="D20" s="100"/>
      <c r="E20" s="100"/>
      <c r="F20" s="100"/>
      <c r="G20" s="26">
        <v>2412</v>
      </c>
    </row>
    <row r="21" spans="1:7" x14ac:dyDescent="0.25">
      <c r="A21" s="22">
        <v>643971</v>
      </c>
      <c r="B21" s="99" t="s">
        <v>19</v>
      </c>
      <c r="C21" s="99"/>
      <c r="D21" s="99"/>
      <c r="E21" s="99"/>
      <c r="F21" s="99"/>
      <c r="G21" s="23">
        <v>6144</v>
      </c>
    </row>
    <row r="22" spans="1:7" x14ac:dyDescent="0.25">
      <c r="A22" s="22">
        <v>535753</v>
      </c>
      <c r="B22" s="99" t="s">
        <v>20</v>
      </c>
      <c r="C22" s="99"/>
      <c r="D22" s="99"/>
      <c r="E22" s="99"/>
      <c r="F22" s="99"/>
      <c r="G22" s="23">
        <v>5537</v>
      </c>
    </row>
    <row r="23" spans="1:7" x14ac:dyDescent="0.25">
      <c r="A23" s="22">
        <v>659282</v>
      </c>
      <c r="B23" s="99" t="s">
        <v>21</v>
      </c>
      <c r="C23" s="99"/>
      <c r="D23" s="99"/>
      <c r="E23" s="99"/>
      <c r="F23" s="99"/>
      <c r="G23" s="24">
        <v>9015</v>
      </c>
    </row>
    <row r="24" spans="1:7" x14ac:dyDescent="0.25">
      <c r="A24" s="22">
        <v>100331</v>
      </c>
      <c r="B24" s="99" t="s">
        <v>22</v>
      </c>
      <c r="C24" s="99"/>
      <c r="D24" s="99"/>
      <c r="E24" s="99"/>
      <c r="F24" s="99"/>
      <c r="G24" s="23">
        <v>2513</v>
      </c>
    </row>
    <row r="25" spans="1:7" x14ac:dyDescent="0.25">
      <c r="A25" s="22">
        <v>276421</v>
      </c>
      <c r="B25" s="99" t="s">
        <v>23</v>
      </c>
      <c r="C25" s="99"/>
      <c r="D25" s="99"/>
      <c r="E25" s="99"/>
      <c r="F25" s="99"/>
      <c r="G25" s="23">
        <v>2115</v>
      </c>
    </row>
    <row r="26" spans="1:7" x14ac:dyDescent="0.25">
      <c r="A26" s="22">
        <v>97713</v>
      </c>
      <c r="B26" s="99" t="s">
        <v>24</v>
      </c>
      <c r="C26" s="99"/>
      <c r="D26" s="99"/>
      <c r="E26" s="99"/>
      <c r="F26" s="99"/>
      <c r="G26" s="23">
        <v>415</v>
      </c>
    </row>
    <row r="27" spans="1:7" x14ac:dyDescent="0.25">
      <c r="A27" s="22">
        <v>67547</v>
      </c>
      <c r="B27" s="99" t="s">
        <v>25</v>
      </c>
      <c r="C27" s="99"/>
      <c r="D27" s="99"/>
      <c r="E27" s="99"/>
      <c r="F27" s="99"/>
      <c r="G27" s="23">
        <v>3016</v>
      </c>
    </row>
    <row r="28" spans="1:7" x14ac:dyDescent="0.25">
      <c r="A28" s="22">
        <v>456063</v>
      </c>
      <c r="B28" s="99" t="s">
        <v>26</v>
      </c>
      <c r="C28" s="99"/>
      <c r="D28" s="99"/>
      <c r="E28" s="99"/>
      <c r="F28" s="99"/>
      <c r="G28" s="23">
        <v>9154</v>
      </c>
    </row>
    <row r="29" spans="1:7" x14ac:dyDescent="0.25">
      <c r="A29" s="22">
        <v>466565</v>
      </c>
      <c r="B29" s="99" t="s">
        <v>27</v>
      </c>
      <c r="C29" s="99"/>
      <c r="D29" s="99"/>
      <c r="E29" s="99"/>
      <c r="F29" s="99"/>
      <c r="G29" s="23">
        <v>3218</v>
      </c>
    </row>
    <row r="30" spans="1:7" x14ac:dyDescent="0.25">
      <c r="A30" s="22">
        <v>483419</v>
      </c>
      <c r="B30" s="99" t="s">
        <v>28</v>
      </c>
      <c r="C30" s="99"/>
      <c r="D30" s="99"/>
      <c r="E30" s="99"/>
      <c r="F30" s="99"/>
      <c r="G30" s="23">
        <v>3319</v>
      </c>
    </row>
    <row r="31" spans="1:7" x14ac:dyDescent="0.25">
      <c r="A31" s="22">
        <v>435988</v>
      </c>
      <c r="B31" s="99" t="s">
        <v>29</v>
      </c>
      <c r="C31" s="99"/>
      <c r="D31" s="99"/>
      <c r="E31" s="99"/>
      <c r="F31" s="99"/>
      <c r="G31" s="23">
        <v>4020</v>
      </c>
    </row>
    <row r="32" spans="1:7" x14ac:dyDescent="0.25">
      <c r="A32" s="22">
        <v>462306</v>
      </c>
      <c r="B32" s="99" t="s">
        <v>30</v>
      </c>
      <c r="C32" s="99"/>
      <c r="D32" s="99"/>
      <c r="E32" s="99"/>
      <c r="F32" s="99"/>
      <c r="G32" s="23">
        <v>4121</v>
      </c>
    </row>
    <row r="33" spans="1:7" x14ac:dyDescent="0.25">
      <c r="A33" s="22">
        <v>276545</v>
      </c>
      <c r="B33" s="99" t="s">
        <v>31</v>
      </c>
      <c r="C33" s="99"/>
      <c r="D33" s="99"/>
      <c r="E33" s="99"/>
      <c r="F33" s="99"/>
      <c r="G33" s="23">
        <v>4222</v>
      </c>
    </row>
    <row r="34" spans="1:7" x14ac:dyDescent="0.25">
      <c r="A34" s="22">
        <v>451460</v>
      </c>
      <c r="B34" s="99" t="s">
        <v>32</v>
      </c>
      <c r="C34" s="99"/>
      <c r="D34" s="99"/>
      <c r="E34" s="99"/>
      <c r="F34" s="99"/>
      <c r="G34" s="23">
        <v>5334</v>
      </c>
    </row>
    <row r="35" spans="1:7" x14ac:dyDescent="0.25">
      <c r="A35" s="22">
        <v>418820</v>
      </c>
      <c r="B35" s="99" t="s">
        <v>33</v>
      </c>
      <c r="C35" s="99"/>
      <c r="D35" s="99"/>
      <c r="E35" s="99"/>
      <c r="F35" s="99"/>
      <c r="G35" s="23">
        <v>4425</v>
      </c>
    </row>
    <row r="36" spans="1:7" x14ac:dyDescent="0.25">
      <c r="A36" s="22">
        <v>638480</v>
      </c>
      <c r="B36" s="99" t="s">
        <v>34</v>
      </c>
      <c r="C36" s="99"/>
      <c r="D36" s="99"/>
      <c r="E36" s="99"/>
      <c r="F36" s="99"/>
      <c r="G36" s="23">
        <v>8869</v>
      </c>
    </row>
    <row r="37" spans="1:7" x14ac:dyDescent="0.25">
      <c r="A37" s="22">
        <v>538566</v>
      </c>
      <c r="B37" s="99" t="s">
        <v>35</v>
      </c>
      <c r="C37" s="99"/>
      <c r="D37" s="99"/>
      <c r="E37" s="99"/>
      <c r="F37" s="99"/>
      <c r="G37" s="23">
        <v>9687</v>
      </c>
    </row>
    <row r="38" spans="1:7" x14ac:dyDescent="0.25">
      <c r="A38" s="25">
        <v>573027</v>
      </c>
      <c r="B38" s="100" t="s">
        <v>47</v>
      </c>
      <c r="C38" s="100"/>
      <c r="D38" s="100"/>
      <c r="E38" s="100"/>
      <c r="F38" s="100"/>
      <c r="G38" s="26">
        <v>8768</v>
      </c>
    </row>
    <row r="39" spans="1:7" x14ac:dyDescent="0.25">
      <c r="A39" s="25">
        <v>190179</v>
      </c>
      <c r="B39" s="100" t="s">
        <v>48</v>
      </c>
      <c r="C39" s="100"/>
      <c r="D39" s="100"/>
      <c r="E39" s="100"/>
      <c r="F39" s="100"/>
      <c r="G39" s="26">
        <v>4627</v>
      </c>
    </row>
    <row r="40" spans="1:7" x14ac:dyDescent="0.25">
      <c r="A40" s="25">
        <v>272426</v>
      </c>
      <c r="B40" s="100" t="s">
        <v>49</v>
      </c>
      <c r="C40" s="100"/>
      <c r="D40" s="100"/>
      <c r="E40" s="100"/>
      <c r="F40" s="100"/>
      <c r="G40" s="26">
        <v>5122</v>
      </c>
    </row>
    <row r="41" spans="1:7" x14ac:dyDescent="0.25">
      <c r="A41" s="25">
        <v>552607</v>
      </c>
      <c r="B41" s="100" t="s">
        <v>50</v>
      </c>
      <c r="C41" s="100"/>
      <c r="D41" s="100"/>
      <c r="E41" s="100"/>
      <c r="F41" s="100"/>
      <c r="G41" s="26">
        <v>1983</v>
      </c>
    </row>
    <row r="42" spans="1:7" x14ac:dyDescent="0.25">
      <c r="A42" s="25">
        <v>645753</v>
      </c>
      <c r="B42" s="100" t="s">
        <v>52</v>
      </c>
      <c r="C42" s="100"/>
      <c r="D42" s="100"/>
      <c r="E42" s="100"/>
      <c r="F42" s="100"/>
      <c r="G42" s="27">
        <v>9020</v>
      </c>
    </row>
    <row r="43" spans="1:7" x14ac:dyDescent="0.25">
      <c r="A43" s="25">
        <v>85430</v>
      </c>
      <c r="B43" s="100" t="s">
        <v>53</v>
      </c>
      <c r="C43" s="100"/>
      <c r="D43" s="100"/>
      <c r="E43" s="100"/>
      <c r="F43" s="100"/>
      <c r="G43" s="26">
        <v>5233</v>
      </c>
    </row>
    <row r="44" spans="1:7" x14ac:dyDescent="0.25">
      <c r="A44" s="25">
        <v>476480</v>
      </c>
      <c r="B44" s="100" t="s">
        <v>54</v>
      </c>
      <c r="C44" s="100"/>
      <c r="D44" s="100"/>
      <c r="E44" s="100"/>
      <c r="F44" s="100"/>
      <c r="G44" s="26">
        <v>5435</v>
      </c>
    </row>
    <row r="45" spans="1:7" x14ac:dyDescent="0.25">
      <c r="A45" s="25">
        <v>645761</v>
      </c>
      <c r="B45" s="100" t="s">
        <v>55</v>
      </c>
      <c r="C45" s="100"/>
      <c r="D45" s="100"/>
      <c r="E45" s="100"/>
      <c r="F45" s="100"/>
      <c r="G45" s="27">
        <v>9022</v>
      </c>
    </row>
    <row r="46" spans="1:7" x14ac:dyDescent="0.25">
      <c r="A46" s="25">
        <v>664324</v>
      </c>
      <c r="B46" s="100" t="s">
        <v>56</v>
      </c>
      <c r="C46" s="100"/>
      <c r="D46" s="100"/>
      <c r="E46" s="100"/>
      <c r="F46" s="100"/>
      <c r="G46" s="27">
        <v>9024</v>
      </c>
    </row>
    <row r="47" spans="1:7" x14ac:dyDescent="0.25">
      <c r="A47" s="25">
        <v>544345</v>
      </c>
      <c r="B47" s="100" t="s">
        <v>57</v>
      </c>
      <c r="C47" s="100"/>
      <c r="D47" s="100"/>
      <c r="E47" s="100"/>
      <c r="F47" s="100"/>
      <c r="G47" s="27">
        <v>9026</v>
      </c>
    </row>
    <row r="48" spans="1:7" x14ac:dyDescent="0.25">
      <c r="A48" s="25">
        <v>659274</v>
      </c>
      <c r="B48" s="100" t="s">
        <v>58</v>
      </c>
      <c r="C48" s="100"/>
      <c r="D48" s="100"/>
      <c r="E48" s="100"/>
      <c r="F48" s="100"/>
      <c r="G48" s="27">
        <v>9028</v>
      </c>
    </row>
    <row r="49" spans="1:7" x14ac:dyDescent="0.25">
      <c r="A49" s="25">
        <v>538604</v>
      </c>
      <c r="B49" s="100" t="s">
        <v>59</v>
      </c>
      <c r="C49" s="100"/>
      <c r="D49" s="100"/>
      <c r="E49" s="100"/>
      <c r="F49" s="100"/>
      <c r="G49" s="26">
        <v>7859</v>
      </c>
    </row>
    <row r="50" spans="1:7" x14ac:dyDescent="0.25">
      <c r="A50" s="25">
        <v>664294</v>
      </c>
      <c r="B50" s="100" t="s">
        <v>60</v>
      </c>
      <c r="C50" s="100"/>
      <c r="D50" s="100"/>
      <c r="E50" s="100"/>
      <c r="F50" s="100"/>
      <c r="G50" s="26">
        <v>3890</v>
      </c>
    </row>
    <row r="51" spans="1:7" x14ac:dyDescent="0.25">
      <c r="A51" s="25">
        <v>544426</v>
      </c>
      <c r="B51" s="100" t="s">
        <v>61</v>
      </c>
      <c r="C51" s="100"/>
      <c r="D51" s="100"/>
      <c r="E51" s="100"/>
      <c r="F51" s="100"/>
      <c r="G51" s="27">
        <v>9031</v>
      </c>
    </row>
    <row r="52" spans="1:7" x14ac:dyDescent="0.25">
      <c r="A52" s="25">
        <v>452688</v>
      </c>
      <c r="B52" s="100" t="s">
        <v>62</v>
      </c>
      <c r="C52" s="100"/>
      <c r="D52" s="100"/>
      <c r="E52" s="100"/>
      <c r="F52" s="100"/>
      <c r="G52" s="26">
        <v>5638</v>
      </c>
    </row>
    <row r="53" spans="1:7" x14ac:dyDescent="0.25">
      <c r="A53" s="25">
        <v>557480</v>
      </c>
      <c r="B53" s="100" t="s">
        <v>63</v>
      </c>
      <c r="C53" s="100"/>
      <c r="D53" s="100"/>
      <c r="E53" s="100"/>
      <c r="F53" s="100"/>
      <c r="G53" s="26">
        <v>7657</v>
      </c>
    </row>
    <row r="54" spans="1:7" x14ac:dyDescent="0.25">
      <c r="A54" s="25">
        <v>552895</v>
      </c>
      <c r="B54" s="100" t="s">
        <v>64</v>
      </c>
      <c r="C54" s="100"/>
      <c r="D54" s="100"/>
      <c r="E54" s="100"/>
      <c r="F54" s="100"/>
      <c r="G54" s="27">
        <v>9035</v>
      </c>
    </row>
    <row r="55" spans="1:7" x14ac:dyDescent="0.25">
      <c r="A55" s="25">
        <v>284688</v>
      </c>
      <c r="B55" s="100" t="s">
        <v>65</v>
      </c>
      <c r="C55" s="100"/>
      <c r="D55" s="100"/>
      <c r="E55" s="100"/>
      <c r="F55" s="100"/>
      <c r="G55" s="26">
        <v>9876</v>
      </c>
    </row>
    <row r="56" spans="1:7" x14ac:dyDescent="0.25">
      <c r="A56" s="25">
        <v>520810</v>
      </c>
      <c r="B56" s="100" t="s">
        <v>66</v>
      </c>
      <c r="C56" s="100"/>
      <c r="D56" s="100"/>
      <c r="E56" s="100"/>
      <c r="F56" s="100"/>
      <c r="G56" s="26">
        <v>5841</v>
      </c>
    </row>
    <row r="57" spans="1:7" x14ac:dyDescent="0.25">
      <c r="A57" s="25">
        <v>110272</v>
      </c>
      <c r="B57" s="100" t="s">
        <v>67</v>
      </c>
      <c r="C57" s="100"/>
      <c r="D57" s="100"/>
      <c r="E57" s="100"/>
      <c r="F57" s="100"/>
      <c r="G57" s="26">
        <v>8061</v>
      </c>
    </row>
    <row r="58" spans="1:7" x14ac:dyDescent="0.25">
      <c r="A58" s="25">
        <v>416983</v>
      </c>
      <c r="B58" s="100" t="s">
        <v>68</v>
      </c>
      <c r="C58" s="100"/>
      <c r="D58" s="100"/>
      <c r="E58" s="100"/>
      <c r="F58" s="100"/>
      <c r="G58" s="26">
        <v>5942</v>
      </c>
    </row>
    <row r="59" spans="1:7" x14ac:dyDescent="0.25">
      <c r="A59" s="25">
        <v>605182</v>
      </c>
      <c r="B59" s="100" t="s">
        <v>69</v>
      </c>
      <c r="C59" s="100"/>
      <c r="D59" s="100"/>
      <c r="E59" s="100"/>
      <c r="F59" s="100"/>
      <c r="G59" s="27">
        <v>9040</v>
      </c>
    </row>
    <row r="60" spans="1:7" x14ac:dyDescent="0.25">
      <c r="A60" s="25">
        <v>576751</v>
      </c>
      <c r="B60" s="100" t="s">
        <v>70</v>
      </c>
      <c r="C60" s="100"/>
      <c r="D60" s="100"/>
      <c r="E60" s="100"/>
      <c r="F60" s="100"/>
      <c r="G60" s="26">
        <v>4515</v>
      </c>
    </row>
    <row r="61" spans="1:7" x14ac:dyDescent="0.25">
      <c r="A61" s="25">
        <v>344796</v>
      </c>
      <c r="B61" s="100" t="s">
        <v>71</v>
      </c>
      <c r="C61" s="100"/>
      <c r="D61" s="100"/>
      <c r="E61" s="100"/>
      <c r="F61" s="100"/>
      <c r="G61" s="26">
        <v>6344</v>
      </c>
    </row>
    <row r="62" spans="1:7" x14ac:dyDescent="0.25">
      <c r="A62" s="22">
        <v>68926</v>
      </c>
      <c r="B62" s="99" t="s">
        <v>72</v>
      </c>
      <c r="C62" s="99"/>
      <c r="D62" s="99"/>
      <c r="E62" s="99"/>
      <c r="F62" s="99"/>
      <c r="G62" s="23">
        <v>1124</v>
      </c>
    </row>
    <row r="63" spans="1:7" x14ac:dyDescent="0.25">
      <c r="A63" s="22">
        <v>663786</v>
      </c>
      <c r="B63" s="99" t="s">
        <v>73</v>
      </c>
      <c r="C63" s="99"/>
      <c r="D63" s="99"/>
      <c r="E63" s="99"/>
      <c r="F63" s="99"/>
      <c r="G63" s="24" t="s">
        <v>120</v>
      </c>
    </row>
    <row r="64" spans="1:7" x14ac:dyDescent="0.25">
      <c r="A64" s="22">
        <v>633909</v>
      </c>
      <c r="B64" s="99" t="s">
        <v>74</v>
      </c>
      <c r="C64" s="99"/>
      <c r="D64" s="99"/>
      <c r="E64" s="99"/>
      <c r="F64" s="99"/>
      <c r="G64" s="23">
        <v>6748</v>
      </c>
    </row>
    <row r="65" spans="1:7" x14ac:dyDescent="0.25">
      <c r="A65" s="22">
        <v>75175</v>
      </c>
      <c r="B65" s="99" t="s">
        <v>75</v>
      </c>
      <c r="C65" s="99"/>
      <c r="D65" s="99"/>
      <c r="E65" s="99"/>
      <c r="F65" s="99"/>
      <c r="G65" s="23">
        <v>6546</v>
      </c>
    </row>
    <row r="66" spans="1:7" x14ac:dyDescent="0.25">
      <c r="A66" s="22">
        <v>470678</v>
      </c>
      <c r="B66" s="99" t="s">
        <v>76</v>
      </c>
      <c r="C66" s="99"/>
      <c r="D66" s="99"/>
      <c r="E66" s="99"/>
      <c r="F66" s="99"/>
      <c r="G66" s="23">
        <v>6647</v>
      </c>
    </row>
    <row r="67" spans="1:7" x14ac:dyDescent="0.25">
      <c r="A67" s="22">
        <v>527025</v>
      </c>
      <c r="B67" s="99" t="s">
        <v>77</v>
      </c>
      <c r="C67" s="99"/>
      <c r="D67" s="99"/>
      <c r="E67" s="99"/>
      <c r="F67" s="99"/>
      <c r="G67" s="23">
        <v>6849</v>
      </c>
    </row>
    <row r="68" spans="1:7" x14ac:dyDescent="0.25">
      <c r="A68" s="22">
        <v>420506</v>
      </c>
      <c r="B68" s="99" t="s">
        <v>78</v>
      </c>
      <c r="C68" s="99"/>
      <c r="D68" s="99"/>
      <c r="E68" s="99"/>
      <c r="F68" s="99"/>
      <c r="G68" s="24">
        <v>9046</v>
      </c>
    </row>
    <row r="69" spans="1:7" x14ac:dyDescent="0.25">
      <c r="A69" s="22">
        <v>477273</v>
      </c>
      <c r="B69" s="99" t="s">
        <v>79</v>
      </c>
      <c r="C69" s="99"/>
      <c r="D69" s="99"/>
      <c r="E69" s="99"/>
      <c r="F69" s="99"/>
      <c r="G69" s="23">
        <v>9037</v>
      </c>
    </row>
    <row r="70" spans="1:7" x14ac:dyDescent="0.25">
      <c r="A70" s="22">
        <v>609986</v>
      </c>
      <c r="B70" s="99" t="s">
        <v>80</v>
      </c>
      <c r="C70" s="99"/>
      <c r="D70" s="99"/>
      <c r="E70" s="99"/>
      <c r="F70" s="99"/>
      <c r="G70" s="23">
        <v>7960</v>
      </c>
    </row>
    <row r="71" spans="1:7" x14ac:dyDescent="0.25">
      <c r="A71" s="22">
        <v>452432</v>
      </c>
      <c r="B71" s="99" t="s">
        <v>81</v>
      </c>
      <c r="C71" s="99"/>
      <c r="D71" s="99"/>
      <c r="E71" s="99"/>
      <c r="F71" s="99"/>
      <c r="G71" s="23">
        <v>7152</v>
      </c>
    </row>
    <row r="72" spans="1:7" x14ac:dyDescent="0.25">
      <c r="A72" s="22">
        <v>286141</v>
      </c>
      <c r="B72" s="99" t="s">
        <v>82</v>
      </c>
      <c r="C72" s="99"/>
      <c r="D72" s="99"/>
      <c r="E72" s="99"/>
      <c r="F72" s="99"/>
      <c r="G72" s="23">
        <v>7253</v>
      </c>
    </row>
    <row r="73" spans="1:7" x14ac:dyDescent="0.25">
      <c r="A73" s="22">
        <v>636061</v>
      </c>
      <c r="B73" s="99" t="s">
        <v>83</v>
      </c>
      <c r="C73" s="99"/>
      <c r="D73" s="99"/>
      <c r="E73" s="99"/>
      <c r="F73" s="99"/>
      <c r="G73" s="23">
        <v>1802</v>
      </c>
    </row>
    <row r="74" spans="1:7" x14ac:dyDescent="0.25">
      <c r="A74" s="22">
        <v>92312</v>
      </c>
      <c r="B74" s="99" t="s">
        <v>84</v>
      </c>
      <c r="C74" s="99"/>
      <c r="D74" s="99"/>
      <c r="E74" s="99"/>
      <c r="F74" s="99"/>
      <c r="G74" s="23">
        <v>7354</v>
      </c>
    </row>
    <row r="75" spans="1:7" x14ac:dyDescent="0.25">
      <c r="A75" s="22">
        <v>450464</v>
      </c>
      <c r="B75" s="99" t="s">
        <v>85</v>
      </c>
      <c r="C75" s="99"/>
      <c r="D75" s="99"/>
      <c r="E75" s="99"/>
      <c r="F75" s="99"/>
      <c r="G75" s="23">
        <v>7451</v>
      </c>
    </row>
    <row r="76" spans="1:7" x14ac:dyDescent="0.25">
      <c r="A76" s="22">
        <v>518905</v>
      </c>
      <c r="B76" s="99" t="s">
        <v>86</v>
      </c>
      <c r="C76" s="99"/>
      <c r="D76" s="99"/>
      <c r="E76" s="99"/>
      <c r="F76" s="99"/>
      <c r="G76" s="23">
        <v>7556</v>
      </c>
    </row>
    <row r="77" spans="1:7" x14ac:dyDescent="0.25">
      <c r="A77" s="22">
        <v>500569</v>
      </c>
      <c r="B77" s="99" t="s">
        <v>87</v>
      </c>
      <c r="C77" s="99"/>
      <c r="D77" s="99"/>
      <c r="E77" s="99"/>
      <c r="F77" s="99"/>
      <c r="G77" s="24">
        <v>9048</v>
      </c>
    </row>
    <row r="78" spans="1:7" x14ac:dyDescent="0.25">
      <c r="A78" s="22">
        <v>237264</v>
      </c>
      <c r="B78" s="99" t="s">
        <v>88</v>
      </c>
      <c r="C78" s="99"/>
      <c r="D78" s="99"/>
      <c r="E78" s="99"/>
      <c r="F78" s="99"/>
      <c r="G78" s="23">
        <v>7758</v>
      </c>
    </row>
    <row r="79" spans="1:7" x14ac:dyDescent="0.25">
      <c r="A79" s="22">
        <v>544507</v>
      </c>
      <c r="B79" s="99" t="s">
        <v>89</v>
      </c>
      <c r="C79" s="99"/>
      <c r="D79" s="99"/>
      <c r="E79" s="99"/>
      <c r="F79" s="99"/>
      <c r="G79" s="24">
        <v>9051</v>
      </c>
    </row>
    <row r="80" spans="1:7" x14ac:dyDescent="0.25">
      <c r="A80" s="22">
        <v>92142</v>
      </c>
      <c r="B80" s="99" t="s">
        <v>90</v>
      </c>
      <c r="C80" s="99"/>
      <c r="D80" s="99"/>
      <c r="E80" s="99"/>
      <c r="F80" s="99"/>
      <c r="G80" s="24">
        <v>9054</v>
      </c>
    </row>
    <row r="81" spans="1:7" x14ac:dyDescent="0.25">
      <c r="A81" s="22">
        <v>291099</v>
      </c>
      <c r="B81" s="99" t="s">
        <v>91</v>
      </c>
      <c r="C81" s="99"/>
      <c r="D81" s="99"/>
      <c r="E81" s="99"/>
      <c r="F81" s="99"/>
      <c r="G81" s="23">
        <v>8263</v>
      </c>
    </row>
    <row r="82" spans="1:7" x14ac:dyDescent="0.25">
      <c r="A82" s="22">
        <v>544566</v>
      </c>
      <c r="B82" s="99" t="s">
        <v>92</v>
      </c>
      <c r="C82" s="99"/>
      <c r="D82" s="99"/>
      <c r="E82" s="99"/>
      <c r="F82" s="99"/>
      <c r="G82" s="24">
        <v>9055</v>
      </c>
    </row>
    <row r="83" spans="1:7" x14ac:dyDescent="0.25">
      <c r="A83" s="22">
        <v>527238</v>
      </c>
      <c r="B83" s="99" t="s">
        <v>93</v>
      </c>
      <c r="C83" s="99"/>
      <c r="D83" s="99"/>
      <c r="E83" s="99"/>
      <c r="F83" s="99"/>
      <c r="G83" s="23">
        <v>8364</v>
      </c>
    </row>
    <row r="84" spans="1:7" x14ac:dyDescent="0.25">
      <c r="A84" s="22">
        <v>410683</v>
      </c>
      <c r="B84" s="99" t="s">
        <v>94</v>
      </c>
      <c r="C84" s="99"/>
      <c r="D84" s="99"/>
      <c r="E84" s="99"/>
      <c r="F84" s="99"/>
      <c r="G84" s="23">
        <v>8465</v>
      </c>
    </row>
    <row r="85" spans="1:7" x14ac:dyDescent="0.25">
      <c r="A85" s="22">
        <v>552216</v>
      </c>
      <c r="B85" s="99" t="s">
        <v>42</v>
      </c>
      <c r="C85" s="99"/>
      <c r="D85" s="99"/>
      <c r="E85" s="99"/>
      <c r="F85" s="99"/>
      <c r="G85" s="24">
        <v>9057</v>
      </c>
    </row>
    <row r="86" spans="1:7" x14ac:dyDescent="0.25">
      <c r="A86" s="22">
        <v>638463</v>
      </c>
      <c r="B86" s="99" t="s">
        <v>95</v>
      </c>
      <c r="C86" s="99"/>
      <c r="D86" s="99"/>
      <c r="E86" s="99"/>
      <c r="F86" s="99"/>
      <c r="G86" s="23">
        <v>3117</v>
      </c>
    </row>
    <row r="87" spans="1:7" x14ac:dyDescent="0.25">
      <c r="A87" s="22">
        <v>634077</v>
      </c>
      <c r="B87" s="99" t="s">
        <v>96</v>
      </c>
      <c r="C87" s="99"/>
      <c r="D87" s="99"/>
      <c r="E87" s="99"/>
      <c r="F87" s="99"/>
      <c r="G87" s="24">
        <v>1323</v>
      </c>
    </row>
    <row r="88" spans="1:7" x14ac:dyDescent="0.25">
      <c r="A88" s="22">
        <v>622842</v>
      </c>
      <c r="B88" s="99" t="s">
        <v>97</v>
      </c>
      <c r="C88" s="99"/>
      <c r="D88" s="99"/>
      <c r="E88" s="99"/>
      <c r="F88" s="99"/>
      <c r="G88" s="23">
        <v>6445</v>
      </c>
    </row>
    <row r="89" spans="1:7" x14ac:dyDescent="0.25">
      <c r="A89" s="22">
        <v>407607</v>
      </c>
      <c r="B89" s="99" t="s">
        <v>98</v>
      </c>
      <c r="C89" s="99"/>
      <c r="D89" s="99"/>
      <c r="E89" s="99"/>
      <c r="F89" s="99"/>
      <c r="G89" s="23">
        <v>8566</v>
      </c>
    </row>
    <row r="90" spans="1:7" x14ac:dyDescent="0.25">
      <c r="A90" s="22">
        <v>544469</v>
      </c>
      <c r="B90" s="99" t="s">
        <v>99</v>
      </c>
      <c r="C90" s="99"/>
      <c r="D90" s="99"/>
      <c r="E90" s="99"/>
      <c r="F90" s="99"/>
      <c r="G90" s="24">
        <v>9061</v>
      </c>
    </row>
    <row r="91" spans="1:7" x14ac:dyDescent="0.25">
      <c r="A91" s="22">
        <v>569070</v>
      </c>
      <c r="B91" s="99" t="s">
        <v>41</v>
      </c>
      <c r="C91" s="99"/>
      <c r="D91" s="99"/>
      <c r="E91" s="99"/>
      <c r="F91" s="99"/>
      <c r="G91" s="23">
        <v>7050</v>
      </c>
    </row>
    <row r="92" spans="1:7" x14ac:dyDescent="0.25">
      <c r="A92" s="22">
        <v>630837</v>
      </c>
      <c r="B92" s="99" t="s">
        <v>100</v>
      </c>
      <c r="C92" s="99"/>
      <c r="D92" s="99"/>
      <c r="E92" s="99"/>
      <c r="F92" s="99"/>
      <c r="G92" s="24">
        <v>9063</v>
      </c>
    </row>
    <row r="93" spans="1:7" x14ac:dyDescent="0.25">
      <c r="A93" s="22">
        <v>573051</v>
      </c>
      <c r="B93" s="99" t="s">
        <v>101</v>
      </c>
      <c r="C93" s="99"/>
      <c r="D93" s="99"/>
      <c r="E93" s="99"/>
      <c r="F93" s="99"/>
      <c r="G93" s="24">
        <v>9065</v>
      </c>
    </row>
    <row r="94" spans="1:7" x14ac:dyDescent="0.25">
      <c r="A94" s="22">
        <v>664863</v>
      </c>
      <c r="B94" s="99" t="s">
        <v>102</v>
      </c>
      <c r="C94" s="99"/>
      <c r="D94" s="99"/>
      <c r="E94" s="99"/>
      <c r="F94" s="99"/>
      <c r="G94" s="24">
        <v>9067</v>
      </c>
    </row>
    <row r="95" spans="1:7" x14ac:dyDescent="0.25">
      <c r="A95" s="22">
        <v>574368</v>
      </c>
      <c r="B95" s="99" t="s">
        <v>103</v>
      </c>
      <c r="C95" s="99"/>
      <c r="D95" s="99"/>
      <c r="E95" s="99"/>
      <c r="F95" s="99"/>
      <c r="G95" s="24">
        <v>8667</v>
      </c>
    </row>
    <row r="96" spans="1:7" x14ac:dyDescent="0.25">
      <c r="A96" s="22">
        <v>72273</v>
      </c>
      <c r="B96" s="99" t="s">
        <v>104</v>
      </c>
      <c r="C96" s="99"/>
      <c r="D96" s="99"/>
      <c r="E96" s="99"/>
      <c r="F96" s="99"/>
      <c r="G96" s="23">
        <v>1212</v>
      </c>
    </row>
    <row r="97" spans="1:17" x14ac:dyDescent="0.25">
      <c r="A97" s="22">
        <v>534331</v>
      </c>
      <c r="B97" s="99" t="s">
        <v>105</v>
      </c>
      <c r="C97" s="99"/>
      <c r="D97" s="99"/>
      <c r="E97" s="99"/>
      <c r="F97" s="99"/>
      <c r="G97" s="24">
        <v>9071</v>
      </c>
    </row>
    <row r="98" spans="1:17" x14ac:dyDescent="0.25">
      <c r="A98" s="22">
        <v>613088</v>
      </c>
      <c r="B98" s="99" t="s">
        <v>106</v>
      </c>
      <c r="C98" s="99"/>
      <c r="D98" s="99"/>
      <c r="E98" s="99"/>
      <c r="F98" s="99"/>
      <c r="G98" s="24">
        <v>9073</v>
      </c>
      <c r="L98" s="32"/>
      <c r="M98" s="32"/>
      <c r="N98" s="32"/>
      <c r="O98" s="32"/>
      <c r="P98" s="32"/>
      <c r="Q98" s="32"/>
    </row>
    <row r="99" spans="1:17" x14ac:dyDescent="0.25">
      <c r="A99" s="22">
        <v>587273</v>
      </c>
      <c r="B99" s="99" t="s">
        <v>107</v>
      </c>
      <c r="C99" s="99"/>
      <c r="D99" s="99"/>
      <c r="E99" s="99"/>
      <c r="F99" s="99"/>
      <c r="G99" s="24">
        <v>9075</v>
      </c>
    </row>
    <row r="100" spans="1:17" x14ac:dyDescent="0.25">
      <c r="A100" s="22">
        <v>245160</v>
      </c>
      <c r="B100" s="99" t="s">
        <v>108</v>
      </c>
      <c r="C100" s="99"/>
      <c r="D100" s="99"/>
      <c r="E100" s="99"/>
      <c r="F100" s="99"/>
      <c r="G100" s="23">
        <v>8970</v>
      </c>
    </row>
    <row r="101" spans="1:17" x14ac:dyDescent="0.25">
      <c r="A101" s="22">
        <v>464171</v>
      </c>
      <c r="B101" s="99" t="s">
        <v>109</v>
      </c>
      <c r="C101" s="99"/>
      <c r="D101" s="99"/>
      <c r="E101" s="99"/>
      <c r="F101" s="99"/>
      <c r="G101" s="23">
        <v>4834</v>
      </c>
    </row>
    <row r="102" spans="1:17" x14ac:dyDescent="0.25">
      <c r="A102" s="36">
        <v>669709</v>
      </c>
      <c r="B102" s="96" t="s">
        <v>121</v>
      </c>
      <c r="C102" s="96"/>
      <c r="D102" s="96"/>
      <c r="E102" s="96"/>
      <c r="F102" s="96"/>
      <c r="G102" s="37">
        <v>1234</v>
      </c>
      <c r="H102" s="35"/>
    </row>
    <row r="103" spans="1:17" x14ac:dyDescent="0.25">
      <c r="A103" s="36">
        <v>669652</v>
      </c>
      <c r="B103" s="97" t="s">
        <v>122</v>
      </c>
      <c r="C103" s="98"/>
      <c r="D103" s="98"/>
      <c r="E103" s="98"/>
      <c r="F103" s="98"/>
      <c r="G103" s="37">
        <v>3890</v>
      </c>
      <c r="H103" s="35"/>
    </row>
    <row r="104" spans="1:17" x14ac:dyDescent="0.25">
      <c r="A104" s="62">
        <v>660191</v>
      </c>
      <c r="B104" s="62" t="s">
        <v>126</v>
      </c>
      <c r="C104" s="33"/>
      <c r="D104" s="33"/>
      <c r="E104" s="33"/>
      <c r="F104" s="33"/>
      <c r="G104" s="34">
        <v>9078</v>
      </c>
      <c r="H104" s="35"/>
    </row>
    <row r="105" spans="1:17" x14ac:dyDescent="0.25">
      <c r="A105" s="62">
        <v>677825</v>
      </c>
      <c r="B105" s="62" t="s">
        <v>125</v>
      </c>
      <c r="C105" s="33"/>
      <c r="D105" s="33"/>
      <c r="E105" s="33"/>
      <c r="F105" s="33"/>
      <c r="G105" s="34">
        <v>9079</v>
      </c>
      <c r="H105" s="35"/>
    </row>
    <row r="106" spans="1:17" x14ac:dyDescent="0.25">
      <c r="A106" s="33">
        <v>638455</v>
      </c>
      <c r="B106" s="33" t="s">
        <v>51</v>
      </c>
      <c r="C106" s="33"/>
      <c r="D106" s="33"/>
      <c r="E106" s="33"/>
      <c r="F106" s="33"/>
      <c r="G106" s="34">
        <v>6043</v>
      </c>
      <c r="H106" s="35"/>
    </row>
    <row r="107" spans="1:17" x14ac:dyDescent="0.25">
      <c r="A107" s="62">
        <v>683094</v>
      </c>
      <c r="B107" s="62" t="s">
        <v>148</v>
      </c>
      <c r="C107" s="33"/>
      <c r="D107" s="33"/>
      <c r="E107" s="33"/>
      <c r="F107" s="33"/>
      <c r="G107" s="34">
        <v>3714</v>
      </c>
      <c r="H107" s="35"/>
    </row>
    <row r="108" spans="1:17" x14ac:dyDescent="0.25">
      <c r="A108" s="62">
        <v>685216</v>
      </c>
      <c r="B108" s="62" t="s">
        <v>150</v>
      </c>
      <c r="C108" s="35"/>
      <c r="D108" s="35"/>
      <c r="E108" s="35"/>
      <c r="F108" s="35"/>
      <c r="G108" s="35" t="s">
        <v>155</v>
      </c>
      <c r="H108" s="35"/>
    </row>
    <row r="109" spans="1:17" x14ac:dyDescent="0.25">
      <c r="A109" s="35">
        <v>691283</v>
      </c>
      <c r="B109" s="35" t="s">
        <v>156</v>
      </c>
      <c r="C109" s="35"/>
      <c r="D109" s="35"/>
      <c r="E109" s="35"/>
      <c r="F109" s="35"/>
      <c r="G109" s="35">
        <v>6912</v>
      </c>
      <c r="H109" s="35"/>
    </row>
    <row r="110" spans="1:17" x14ac:dyDescent="0.25">
      <c r="A110" s="35">
        <v>691950</v>
      </c>
      <c r="B110" s="35" t="s">
        <v>157</v>
      </c>
      <c r="C110" s="35"/>
      <c r="D110" s="35"/>
      <c r="E110" s="35"/>
      <c r="F110" s="35"/>
      <c r="G110" s="35">
        <v>5942</v>
      </c>
      <c r="H110" s="35"/>
    </row>
    <row r="111" spans="1:17" x14ac:dyDescent="0.25">
      <c r="A111" s="35">
        <v>691852</v>
      </c>
      <c r="B111" s="35" t="s">
        <v>158</v>
      </c>
      <c r="C111" s="35"/>
      <c r="D111" s="35"/>
      <c r="E111" s="35"/>
      <c r="F111" s="35"/>
      <c r="G111" s="35">
        <v>6918</v>
      </c>
      <c r="H111" s="35"/>
    </row>
    <row r="112" spans="1:17" x14ac:dyDescent="0.25">
      <c r="A112" s="35">
        <v>698660</v>
      </c>
      <c r="B112" s="35" t="s">
        <v>160</v>
      </c>
      <c r="C112" s="35"/>
      <c r="D112" s="35"/>
      <c r="E112" s="35"/>
      <c r="F112" s="35"/>
      <c r="G112" s="35">
        <v>6986</v>
      </c>
      <c r="H112" s="35"/>
    </row>
    <row r="113" spans="1:8" x14ac:dyDescent="0.25">
      <c r="A113" s="35">
        <v>698814</v>
      </c>
      <c r="B113" s="35" t="s">
        <v>162</v>
      </c>
      <c r="C113" s="35"/>
      <c r="D113" s="35"/>
      <c r="E113" s="35"/>
      <c r="F113" s="35"/>
      <c r="G113" s="35">
        <v>6988</v>
      </c>
      <c r="H113" s="35"/>
    </row>
    <row r="114" spans="1:8" x14ac:dyDescent="0.25">
      <c r="A114" s="35">
        <v>698890</v>
      </c>
      <c r="B114" s="35" t="s">
        <v>164</v>
      </c>
      <c r="C114" s="35"/>
      <c r="D114" s="35"/>
      <c r="E114" s="35"/>
      <c r="F114" s="35"/>
      <c r="G114" s="35"/>
      <c r="H114" s="35"/>
    </row>
    <row r="115" spans="1:8" x14ac:dyDescent="0.25">
      <c r="A115" s="62">
        <v>696170</v>
      </c>
      <c r="B115" s="62" t="s">
        <v>159</v>
      </c>
      <c r="C115" s="35"/>
      <c r="D115" s="35"/>
      <c r="E115" s="35"/>
      <c r="F115" s="35"/>
      <c r="G115" s="35">
        <v>6961</v>
      </c>
      <c r="H115" s="35"/>
    </row>
    <row r="116" spans="1:8" x14ac:dyDescent="0.25">
      <c r="A116" s="35">
        <v>700860</v>
      </c>
      <c r="B116" s="35" t="s">
        <v>167</v>
      </c>
      <c r="C116" s="35"/>
      <c r="D116" s="35"/>
      <c r="E116" s="35"/>
      <c r="F116" s="35"/>
      <c r="G116" s="35">
        <v>7008</v>
      </c>
      <c r="H116" s="35"/>
    </row>
    <row r="117" spans="1:8" x14ac:dyDescent="0.25">
      <c r="A117" s="35">
        <v>702838</v>
      </c>
      <c r="B117" s="35" t="s">
        <v>176</v>
      </c>
      <c r="C117" s="35"/>
      <c r="D117" s="35"/>
      <c r="E117" s="35"/>
      <c r="F117" s="35"/>
      <c r="G117" s="35">
        <v>7028</v>
      </c>
      <c r="H117" s="35"/>
    </row>
    <row r="118" spans="1:8" x14ac:dyDescent="0.25">
      <c r="A118" s="35">
        <v>705683</v>
      </c>
      <c r="B118" s="35" t="s">
        <v>170</v>
      </c>
      <c r="C118" s="35"/>
      <c r="D118" s="35"/>
      <c r="E118" s="35"/>
      <c r="F118" s="35"/>
      <c r="G118" s="35">
        <v>7056</v>
      </c>
      <c r="H118" s="35"/>
    </row>
    <row r="119" spans="1:8" x14ac:dyDescent="0.25">
      <c r="A119" s="62">
        <v>713872</v>
      </c>
      <c r="B119" s="62" t="s">
        <v>165</v>
      </c>
      <c r="C119" s="35"/>
      <c r="D119" s="35"/>
      <c r="E119" s="35"/>
      <c r="F119" s="35"/>
      <c r="G119" s="35">
        <v>7138</v>
      </c>
      <c r="H119" s="35"/>
    </row>
    <row r="120" spans="1:8" x14ac:dyDescent="0.25">
      <c r="A120" s="62">
        <v>724440</v>
      </c>
      <c r="B120" s="62" t="s">
        <v>166</v>
      </c>
      <c r="C120" s="35"/>
      <c r="D120" s="35"/>
      <c r="E120" s="35"/>
      <c r="F120" s="35"/>
      <c r="G120" s="35">
        <v>7244</v>
      </c>
      <c r="H120" s="35"/>
    </row>
    <row r="121" spans="1:8" x14ac:dyDescent="0.25">
      <c r="A121" s="62">
        <v>730564</v>
      </c>
      <c r="B121" s="62" t="s">
        <v>169</v>
      </c>
      <c r="C121" s="35"/>
      <c r="D121" s="35"/>
      <c r="E121" s="35"/>
      <c r="F121" s="35"/>
      <c r="G121" s="35">
        <v>7305</v>
      </c>
      <c r="H121" s="35"/>
    </row>
    <row r="122" spans="1:8" x14ac:dyDescent="0.25">
      <c r="A122" s="62">
        <v>726761</v>
      </c>
      <c r="B122" s="62" t="s">
        <v>171</v>
      </c>
      <c r="C122" s="35"/>
      <c r="D122" s="35"/>
      <c r="E122" s="35"/>
      <c r="F122" s="35"/>
      <c r="G122" s="35">
        <v>7267</v>
      </c>
      <c r="H122" s="35"/>
    </row>
    <row r="123" spans="1:8" x14ac:dyDescent="0.25">
      <c r="A123" s="62">
        <v>708933</v>
      </c>
      <c r="B123" s="62" t="s">
        <v>172</v>
      </c>
      <c r="C123" s="35"/>
      <c r="D123" s="35"/>
      <c r="E123" s="35"/>
      <c r="F123" s="35"/>
      <c r="G123" s="35">
        <v>7089</v>
      </c>
      <c r="H123" s="35"/>
    </row>
    <row r="124" spans="1:8" x14ac:dyDescent="0.25">
      <c r="A124" s="62">
        <v>713643</v>
      </c>
      <c r="B124" s="62" t="s">
        <v>173</v>
      </c>
      <c r="C124" s="35"/>
      <c r="D124" s="35"/>
      <c r="E124" s="35"/>
      <c r="F124" s="35"/>
      <c r="G124" s="35">
        <v>7136</v>
      </c>
      <c r="H124" s="35"/>
    </row>
    <row r="125" spans="1:8" x14ac:dyDescent="0.25">
      <c r="A125" s="62">
        <v>712779</v>
      </c>
      <c r="B125" s="62" t="s">
        <v>175</v>
      </c>
      <c r="C125" s="35"/>
      <c r="D125" s="35"/>
      <c r="E125" s="35"/>
      <c r="F125" s="35"/>
      <c r="G125" s="35">
        <v>7127</v>
      </c>
      <c r="H125" s="35"/>
    </row>
    <row r="126" spans="1:8" x14ac:dyDescent="0.25">
      <c r="A126" s="62">
        <v>731200</v>
      </c>
      <c r="B126" s="62" t="s">
        <v>177</v>
      </c>
      <c r="C126" s="35"/>
      <c r="D126" s="35"/>
      <c r="E126" s="35"/>
      <c r="F126" s="35"/>
      <c r="G126" s="35">
        <v>7312</v>
      </c>
      <c r="H126" s="35"/>
    </row>
    <row r="127" spans="1:8" x14ac:dyDescent="0.25">
      <c r="A127" s="62">
        <v>733741</v>
      </c>
      <c r="B127" s="62" t="s">
        <v>180</v>
      </c>
      <c r="C127" s="35"/>
      <c r="D127" s="35"/>
      <c r="E127" s="35"/>
      <c r="F127" s="35"/>
      <c r="G127" s="35">
        <v>7337</v>
      </c>
      <c r="H127" s="35"/>
    </row>
    <row r="128" spans="1:8" x14ac:dyDescent="0.25">
      <c r="A128" s="35">
        <v>734411</v>
      </c>
      <c r="B128" s="35" t="s">
        <v>181</v>
      </c>
      <c r="C128" s="35"/>
      <c r="D128" s="35"/>
      <c r="E128" s="35"/>
      <c r="F128" s="35"/>
      <c r="G128" s="35">
        <v>7344</v>
      </c>
      <c r="H128" s="35"/>
    </row>
    <row r="129" spans="1:8" x14ac:dyDescent="0.25">
      <c r="A129" s="35">
        <v>735515</v>
      </c>
      <c r="B129" s="35" t="s">
        <v>182</v>
      </c>
      <c r="C129" s="35"/>
      <c r="D129" s="35"/>
      <c r="E129" s="35"/>
      <c r="F129" s="35"/>
      <c r="G129" s="35">
        <v>7355</v>
      </c>
      <c r="H129" s="35"/>
    </row>
    <row r="130" spans="1:8" x14ac:dyDescent="0.25">
      <c r="A130" s="62">
        <v>739812</v>
      </c>
      <c r="B130" s="62" t="s">
        <v>184</v>
      </c>
      <c r="C130" s="35"/>
      <c r="D130" s="35"/>
      <c r="E130" s="35"/>
      <c r="F130" s="35"/>
      <c r="G130" s="35">
        <v>7398</v>
      </c>
      <c r="H130" s="35"/>
    </row>
    <row r="131" spans="1:8" x14ac:dyDescent="0.25">
      <c r="A131" s="62">
        <v>738913</v>
      </c>
      <c r="B131" s="62" t="s">
        <v>185</v>
      </c>
      <c r="C131" s="35"/>
      <c r="D131" s="35"/>
      <c r="E131" s="35"/>
      <c r="F131" s="35"/>
      <c r="G131" s="35">
        <v>7389</v>
      </c>
      <c r="H131" s="35"/>
    </row>
    <row r="132" spans="1:8" x14ac:dyDescent="0.25">
      <c r="A132" s="35">
        <v>743178</v>
      </c>
      <c r="B132" s="62" t="s">
        <v>188</v>
      </c>
      <c r="C132" s="35"/>
      <c r="D132" s="35"/>
      <c r="E132" s="35"/>
      <c r="F132" s="35"/>
      <c r="G132" s="35">
        <v>7431</v>
      </c>
      <c r="H132" s="35"/>
    </row>
    <row r="133" spans="1:8" x14ac:dyDescent="0.25">
      <c r="A133" s="35">
        <v>733199</v>
      </c>
      <c r="B133" s="62" t="s">
        <v>179</v>
      </c>
      <c r="C133" s="35"/>
      <c r="D133" s="35"/>
      <c r="E133" s="35"/>
      <c r="F133" s="35"/>
      <c r="G133" s="35">
        <v>7331</v>
      </c>
      <c r="H133" s="35"/>
    </row>
    <row r="134" spans="1:8" x14ac:dyDescent="0.25">
      <c r="A134" s="35">
        <v>744255</v>
      </c>
      <c r="B134" s="35" t="s">
        <v>191</v>
      </c>
      <c r="C134" s="35"/>
      <c r="D134" s="35"/>
      <c r="E134" s="35"/>
      <c r="F134" s="35"/>
      <c r="G134" s="35">
        <v>7442</v>
      </c>
      <c r="H134" s="35"/>
    </row>
    <row r="135" spans="1:8" x14ac:dyDescent="0.25">
      <c r="A135" s="35">
        <v>745542</v>
      </c>
      <c r="B135" s="35" t="s">
        <v>192</v>
      </c>
      <c r="C135" s="35"/>
      <c r="D135" s="35"/>
      <c r="E135" s="35"/>
      <c r="F135" s="35"/>
      <c r="G135" s="35">
        <v>7455</v>
      </c>
      <c r="H135" s="35"/>
    </row>
    <row r="136" spans="1:8" x14ac:dyDescent="0.25">
      <c r="A136" s="62">
        <v>749257</v>
      </c>
      <c r="B136" s="62" t="s">
        <v>297</v>
      </c>
      <c r="C136" s="35"/>
      <c r="D136" s="35"/>
      <c r="E136" s="35"/>
      <c r="F136" s="35"/>
      <c r="G136" s="35">
        <v>7492</v>
      </c>
      <c r="H136" s="35"/>
    </row>
    <row r="137" spans="1:8" x14ac:dyDescent="0.25">
      <c r="A137" s="35"/>
      <c r="B137" s="35"/>
      <c r="C137" s="35"/>
      <c r="D137" s="35"/>
      <c r="E137" s="35"/>
      <c r="F137" s="35"/>
      <c r="G137" s="35"/>
      <c r="H137" s="35"/>
    </row>
    <row r="138" spans="1:8" x14ac:dyDescent="0.25">
      <c r="A138" s="35"/>
      <c r="B138" s="35"/>
      <c r="C138" s="35"/>
      <c r="D138" s="35"/>
      <c r="E138" s="35"/>
      <c r="F138" s="35"/>
      <c r="G138" s="35"/>
      <c r="H138" s="35"/>
    </row>
    <row r="139" spans="1:8" x14ac:dyDescent="0.25">
      <c r="A139" s="35"/>
      <c r="B139" s="35"/>
      <c r="C139" s="35"/>
      <c r="D139" s="35"/>
      <c r="E139" s="35"/>
      <c r="F139" s="35"/>
      <c r="G139" s="35"/>
      <c r="H139" s="35"/>
    </row>
    <row r="140" spans="1:8" x14ac:dyDescent="0.25">
      <c r="A140" s="35"/>
      <c r="B140" s="35"/>
      <c r="C140" s="35"/>
      <c r="D140" s="35"/>
      <c r="E140" s="35"/>
      <c r="F140" s="35"/>
      <c r="G140" s="35"/>
      <c r="H140" s="35"/>
    </row>
    <row r="141" spans="1:8" x14ac:dyDescent="0.25">
      <c r="A141" s="35"/>
      <c r="B141" s="35"/>
      <c r="C141" s="35"/>
      <c r="D141" s="35"/>
      <c r="E141" s="35"/>
      <c r="F141" s="35"/>
      <c r="G141" s="35"/>
      <c r="H141" s="35"/>
    </row>
    <row r="142" spans="1:8" x14ac:dyDescent="0.25">
      <c r="A142" s="35"/>
      <c r="B142" s="35"/>
      <c r="C142" s="35"/>
      <c r="D142" s="35"/>
      <c r="E142" s="35"/>
      <c r="F142" s="35"/>
      <c r="G142" s="35"/>
      <c r="H142" s="35"/>
    </row>
    <row r="143" spans="1:8" x14ac:dyDescent="0.25">
      <c r="A143" s="35"/>
      <c r="B143" s="35"/>
      <c r="C143" s="35"/>
      <c r="D143" s="35"/>
      <c r="E143" s="35"/>
      <c r="F143" s="35"/>
      <c r="G143" s="35"/>
      <c r="H143" s="35"/>
    </row>
    <row r="144" spans="1:8" x14ac:dyDescent="0.25">
      <c r="A144" s="35"/>
      <c r="B144" s="35"/>
      <c r="C144" s="35"/>
      <c r="D144" s="35"/>
      <c r="E144" s="35"/>
      <c r="F144" s="35"/>
      <c r="G144" s="35"/>
      <c r="H144" s="35"/>
    </row>
    <row r="145" spans="1:8" x14ac:dyDescent="0.25">
      <c r="A145" s="35"/>
      <c r="B145" s="35"/>
      <c r="C145" s="35"/>
      <c r="D145" s="35"/>
      <c r="E145" s="35"/>
      <c r="F145" s="35"/>
      <c r="G145" s="35"/>
      <c r="H145" s="35"/>
    </row>
    <row r="146" spans="1:8" x14ac:dyDescent="0.25">
      <c r="A146" s="35"/>
      <c r="B146" s="35"/>
      <c r="C146" s="35"/>
      <c r="D146" s="35"/>
      <c r="E146" s="35"/>
      <c r="F146" s="35"/>
      <c r="G146" s="35"/>
      <c r="H146" s="35"/>
    </row>
    <row r="147" spans="1:8" x14ac:dyDescent="0.25">
      <c r="A147" s="35"/>
      <c r="B147" s="35"/>
      <c r="C147" s="35"/>
      <c r="D147" s="35"/>
      <c r="E147" s="35"/>
      <c r="F147" s="35"/>
      <c r="G147" s="35"/>
      <c r="H147" s="35"/>
    </row>
    <row r="148" spans="1:8" x14ac:dyDescent="0.25">
      <c r="A148" s="35"/>
      <c r="B148" s="35"/>
      <c r="C148" s="35"/>
      <c r="D148" s="35"/>
      <c r="E148" s="35"/>
      <c r="F148" s="35"/>
      <c r="G148" s="35"/>
      <c r="H148" s="35"/>
    </row>
    <row r="149" spans="1:8" x14ac:dyDescent="0.25">
      <c r="A149" s="35"/>
      <c r="B149" s="35"/>
      <c r="C149" s="35"/>
      <c r="D149" s="35"/>
      <c r="E149" s="35"/>
      <c r="F149" s="35"/>
      <c r="G149" s="35"/>
      <c r="H149" s="35"/>
    </row>
    <row r="150" spans="1:8" x14ac:dyDescent="0.25">
      <c r="A150" s="35"/>
      <c r="B150" s="35"/>
      <c r="C150" s="35"/>
      <c r="D150" s="35"/>
      <c r="E150" s="35"/>
      <c r="F150" s="35"/>
      <c r="G150" s="35"/>
      <c r="H150" s="35"/>
    </row>
    <row r="151" spans="1:8" x14ac:dyDescent="0.25">
      <c r="A151" s="35"/>
      <c r="B151" s="35"/>
      <c r="C151" s="35"/>
      <c r="D151" s="35"/>
      <c r="E151" s="35"/>
      <c r="F151" s="35"/>
      <c r="G151" s="35"/>
      <c r="H151" s="35"/>
    </row>
    <row r="152" spans="1:8" x14ac:dyDescent="0.25">
      <c r="A152" s="35"/>
      <c r="B152" s="35"/>
      <c r="C152" s="35"/>
      <c r="D152" s="35"/>
      <c r="E152" s="35"/>
      <c r="F152" s="35"/>
      <c r="G152" s="35"/>
      <c r="H152" s="35"/>
    </row>
    <row r="153" spans="1:8" x14ac:dyDescent="0.25">
      <c r="A153" s="35"/>
      <c r="B153" s="35"/>
      <c r="C153" s="35"/>
      <c r="D153" s="35"/>
      <c r="E153" s="35"/>
      <c r="F153" s="35"/>
      <c r="G153" s="35"/>
      <c r="H153" s="35"/>
    </row>
    <row r="154" spans="1:8" x14ac:dyDescent="0.25">
      <c r="A154" s="35"/>
      <c r="B154" s="35"/>
      <c r="C154" s="35"/>
      <c r="D154" s="35"/>
      <c r="E154" s="35"/>
      <c r="F154" s="35"/>
      <c r="G154" s="35"/>
      <c r="H154" s="35"/>
    </row>
    <row r="155" spans="1:8" x14ac:dyDescent="0.25">
      <c r="A155" s="35"/>
      <c r="B155" s="35"/>
      <c r="C155" s="35"/>
      <c r="D155" s="35"/>
      <c r="E155" s="35"/>
      <c r="F155" s="35"/>
      <c r="G155" s="35"/>
      <c r="H155" s="35"/>
    </row>
    <row r="156" spans="1:8" x14ac:dyDescent="0.25">
      <c r="A156" s="35"/>
      <c r="B156" s="35"/>
      <c r="C156" s="35"/>
      <c r="D156" s="35"/>
      <c r="E156" s="35"/>
      <c r="F156" s="35"/>
      <c r="G156" s="35"/>
      <c r="H156" s="35"/>
    </row>
    <row r="157" spans="1:8" x14ac:dyDescent="0.25">
      <c r="A157" s="35"/>
      <c r="B157" s="35"/>
      <c r="C157" s="35"/>
      <c r="D157" s="35"/>
      <c r="E157" s="35"/>
      <c r="F157" s="35"/>
      <c r="G157" s="35"/>
      <c r="H157" s="35"/>
    </row>
    <row r="158" spans="1:8" x14ac:dyDescent="0.25">
      <c r="A158" s="35"/>
      <c r="B158" s="35"/>
      <c r="C158" s="35"/>
      <c r="D158" s="35"/>
      <c r="E158" s="35"/>
      <c r="F158" s="35"/>
      <c r="G158" s="35"/>
      <c r="H158" s="35"/>
    </row>
    <row r="159" spans="1:8" x14ac:dyDescent="0.25">
      <c r="A159" s="35"/>
      <c r="B159" s="35"/>
      <c r="C159" s="35"/>
      <c r="D159" s="35"/>
      <c r="E159" s="35"/>
      <c r="F159" s="35"/>
      <c r="G159" s="35"/>
      <c r="H159" s="35"/>
    </row>
    <row r="160" spans="1:8" x14ac:dyDescent="0.25">
      <c r="A160" s="35"/>
      <c r="B160" s="35"/>
      <c r="C160" s="35"/>
      <c r="D160" s="35"/>
      <c r="E160" s="35"/>
      <c r="F160" s="35"/>
      <c r="G160" s="35"/>
      <c r="H160" s="35"/>
    </row>
    <row r="161" spans="1:8" x14ac:dyDescent="0.25">
      <c r="A161" s="35"/>
      <c r="B161" s="35"/>
      <c r="C161" s="35"/>
      <c r="D161" s="35"/>
      <c r="E161" s="35"/>
      <c r="F161" s="35"/>
      <c r="G161" s="35"/>
      <c r="H161" s="35"/>
    </row>
    <row r="162" spans="1:8" x14ac:dyDescent="0.25">
      <c r="A162" s="35"/>
      <c r="B162" s="35"/>
      <c r="C162" s="35"/>
      <c r="D162" s="35"/>
      <c r="E162" s="35"/>
      <c r="F162" s="35"/>
      <c r="G162" s="35"/>
      <c r="H162" s="35"/>
    </row>
    <row r="163" spans="1:8" x14ac:dyDescent="0.25">
      <c r="A163" s="35"/>
      <c r="B163" s="35"/>
      <c r="C163" s="35"/>
      <c r="D163" s="35"/>
      <c r="E163" s="35"/>
      <c r="F163" s="35"/>
      <c r="G163" s="35"/>
      <c r="H163" s="35"/>
    </row>
    <row r="164" spans="1:8" x14ac:dyDescent="0.25">
      <c r="A164" s="35"/>
      <c r="B164" s="35"/>
      <c r="C164" s="35"/>
      <c r="D164" s="35"/>
      <c r="E164" s="35"/>
      <c r="F164" s="35"/>
      <c r="G164" s="35"/>
      <c r="H164" s="35"/>
    </row>
    <row r="165" spans="1:8" x14ac:dyDescent="0.25">
      <c r="A165" s="35"/>
      <c r="B165" s="35"/>
      <c r="C165" s="35"/>
      <c r="D165" s="35"/>
      <c r="E165" s="35"/>
      <c r="F165" s="35"/>
      <c r="G165" s="35"/>
      <c r="H165" s="35"/>
    </row>
    <row r="166" spans="1:8" x14ac:dyDescent="0.25">
      <c r="A166" s="35"/>
      <c r="B166" s="35"/>
      <c r="C166" s="35"/>
      <c r="D166" s="35"/>
      <c r="E166" s="35"/>
      <c r="F166" s="35"/>
      <c r="G166" s="35"/>
      <c r="H166" s="35"/>
    </row>
    <row r="167" spans="1:8" x14ac:dyDescent="0.25">
      <c r="A167" s="35"/>
      <c r="B167" s="35"/>
      <c r="C167" s="35"/>
      <c r="D167" s="35"/>
      <c r="E167" s="35"/>
      <c r="F167" s="35"/>
      <c r="G167" s="35"/>
      <c r="H167" s="35"/>
    </row>
    <row r="168" spans="1:8" x14ac:dyDescent="0.25">
      <c r="A168" s="35"/>
      <c r="B168" s="35"/>
      <c r="C168" s="35"/>
      <c r="D168" s="35"/>
      <c r="E168" s="35"/>
      <c r="F168" s="35"/>
      <c r="G168" s="35"/>
      <c r="H168" s="35"/>
    </row>
    <row r="169" spans="1:8" x14ac:dyDescent="0.25">
      <c r="A169" s="35"/>
      <c r="B169" s="35"/>
      <c r="C169" s="35"/>
      <c r="D169" s="35"/>
      <c r="E169" s="35"/>
      <c r="F169" s="35"/>
      <c r="G169" s="35"/>
      <c r="H169" s="35"/>
    </row>
    <row r="170" spans="1:8" x14ac:dyDescent="0.25">
      <c r="A170" s="35"/>
      <c r="B170" s="35"/>
      <c r="C170" s="35"/>
      <c r="D170" s="35"/>
      <c r="E170" s="35"/>
      <c r="F170" s="35"/>
      <c r="G170" s="35"/>
      <c r="H170" s="35"/>
    </row>
    <row r="171" spans="1:8" x14ac:dyDescent="0.25">
      <c r="A171" s="35"/>
      <c r="B171" s="35"/>
      <c r="C171" s="35"/>
      <c r="D171" s="35"/>
      <c r="E171" s="35"/>
      <c r="F171" s="35"/>
      <c r="G171" s="35"/>
      <c r="H171" s="35"/>
    </row>
    <row r="172" spans="1:8" x14ac:dyDescent="0.25">
      <c r="A172" s="35"/>
      <c r="B172" s="35"/>
      <c r="C172" s="35"/>
      <c r="D172" s="35"/>
      <c r="E172" s="35"/>
      <c r="F172" s="35"/>
      <c r="G172" s="35"/>
      <c r="H172" s="35"/>
    </row>
    <row r="173" spans="1:8" x14ac:dyDescent="0.25">
      <c r="A173" s="35"/>
      <c r="B173" s="35"/>
      <c r="C173" s="35"/>
      <c r="D173" s="35"/>
      <c r="E173" s="35"/>
      <c r="F173" s="35"/>
      <c r="G173" s="35"/>
      <c r="H173" s="35"/>
    </row>
    <row r="174" spans="1:8" x14ac:dyDescent="0.25">
      <c r="A174" s="35"/>
      <c r="B174" s="35"/>
      <c r="C174" s="35"/>
      <c r="D174" s="35"/>
      <c r="E174" s="35"/>
      <c r="F174" s="35"/>
      <c r="G174" s="35"/>
      <c r="H174" s="35"/>
    </row>
    <row r="175" spans="1:8" x14ac:dyDescent="0.25">
      <c r="A175" s="35"/>
      <c r="B175" s="35"/>
      <c r="C175" s="35"/>
      <c r="D175" s="35"/>
      <c r="E175" s="35"/>
      <c r="F175" s="35"/>
      <c r="G175" s="35"/>
      <c r="H175" s="35"/>
    </row>
    <row r="176" spans="1:8" x14ac:dyDescent="0.25">
      <c r="A176" s="35"/>
      <c r="B176" s="35"/>
      <c r="C176" s="35"/>
      <c r="D176" s="35"/>
      <c r="E176" s="35"/>
      <c r="F176" s="35"/>
      <c r="G176" s="35"/>
      <c r="H176" s="35"/>
    </row>
    <row r="177" spans="1:8" x14ac:dyDescent="0.25">
      <c r="A177" s="35"/>
      <c r="B177" s="35"/>
      <c r="C177" s="35"/>
      <c r="D177" s="35"/>
      <c r="E177" s="35"/>
      <c r="F177" s="35"/>
      <c r="G177" s="35"/>
      <c r="H177" s="35"/>
    </row>
    <row r="178" spans="1:8" x14ac:dyDescent="0.25">
      <c r="A178" s="35"/>
      <c r="B178" s="35"/>
      <c r="C178" s="35"/>
      <c r="D178" s="35"/>
      <c r="E178" s="35"/>
      <c r="F178" s="35"/>
      <c r="G178" s="35"/>
      <c r="H178" s="35"/>
    </row>
    <row r="179" spans="1:8" x14ac:dyDescent="0.25">
      <c r="A179" s="35"/>
      <c r="B179" s="35"/>
      <c r="C179" s="35"/>
      <c r="D179" s="35"/>
      <c r="E179" s="35"/>
      <c r="F179" s="35"/>
      <c r="G179" s="35"/>
      <c r="H179" s="35"/>
    </row>
    <row r="180" spans="1:8" x14ac:dyDescent="0.25">
      <c r="A180" s="35"/>
      <c r="B180" s="35"/>
      <c r="C180" s="35"/>
      <c r="D180" s="35"/>
      <c r="E180" s="35"/>
      <c r="F180" s="35"/>
      <c r="G180" s="35"/>
      <c r="H180" s="35"/>
    </row>
    <row r="181" spans="1:8" x14ac:dyDescent="0.25">
      <c r="A181" s="35"/>
      <c r="B181" s="35"/>
      <c r="C181" s="35"/>
      <c r="D181" s="35"/>
      <c r="E181" s="35"/>
      <c r="F181" s="35"/>
      <c r="G181" s="35"/>
      <c r="H181" s="35"/>
    </row>
    <row r="182" spans="1:8" x14ac:dyDescent="0.25">
      <c r="A182" s="35"/>
      <c r="B182" s="35"/>
      <c r="C182" s="35"/>
      <c r="D182" s="35"/>
      <c r="E182" s="35"/>
      <c r="F182" s="35"/>
      <c r="G182" s="35"/>
      <c r="H182" s="35"/>
    </row>
    <row r="183" spans="1:8" x14ac:dyDescent="0.25">
      <c r="A183" s="35"/>
      <c r="B183" s="35"/>
      <c r="C183" s="35"/>
      <c r="D183" s="35"/>
      <c r="E183" s="35"/>
      <c r="F183" s="35"/>
      <c r="G183" s="35"/>
      <c r="H183" s="35"/>
    </row>
    <row r="184" spans="1:8" x14ac:dyDescent="0.25">
      <c r="A184" s="35"/>
      <c r="B184" s="35"/>
      <c r="C184" s="35"/>
      <c r="D184" s="35"/>
      <c r="E184" s="35"/>
      <c r="F184" s="35"/>
      <c r="G184" s="35"/>
      <c r="H184" s="35"/>
    </row>
    <row r="185" spans="1:8" x14ac:dyDescent="0.25">
      <c r="A185" s="35"/>
      <c r="B185" s="35"/>
      <c r="C185" s="35"/>
      <c r="D185" s="35"/>
      <c r="E185" s="35"/>
      <c r="F185" s="35"/>
      <c r="G185" s="35"/>
      <c r="H185" s="35"/>
    </row>
    <row r="186" spans="1:8" x14ac:dyDescent="0.25">
      <c r="A186" s="35"/>
      <c r="B186" s="35"/>
      <c r="C186" s="35"/>
      <c r="D186" s="35"/>
      <c r="E186" s="35"/>
      <c r="F186" s="35"/>
      <c r="G186" s="35"/>
      <c r="H186" s="35"/>
    </row>
    <row r="187" spans="1:8" x14ac:dyDescent="0.25">
      <c r="A187" s="35"/>
      <c r="B187" s="35"/>
      <c r="C187" s="35"/>
      <c r="D187" s="35"/>
      <c r="E187" s="35"/>
      <c r="F187" s="35"/>
      <c r="G187" s="35"/>
      <c r="H187" s="35"/>
    </row>
    <row r="188" spans="1:8" x14ac:dyDescent="0.25">
      <c r="A188" s="35"/>
      <c r="B188" s="35"/>
      <c r="C188" s="35"/>
      <c r="D188" s="35"/>
      <c r="E188" s="35"/>
      <c r="F188" s="35"/>
      <c r="G188" s="35"/>
      <c r="H188" s="35"/>
    </row>
    <row r="189" spans="1:8" x14ac:dyDescent="0.25">
      <c r="A189" s="35"/>
      <c r="B189" s="35"/>
      <c r="C189" s="35"/>
      <c r="D189" s="35"/>
      <c r="E189" s="35"/>
      <c r="F189" s="35"/>
      <c r="G189" s="35"/>
      <c r="H189" s="35"/>
    </row>
    <row r="190" spans="1:8" x14ac:dyDescent="0.25">
      <c r="A190" s="35"/>
      <c r="B190" s="35"/>
      <c r="C190" s="35"/>
      <c r="D190" s="35"/>
      <c r="E190" s="35"/>
      <c r="F190" s="35"/>
      <c r="G190" s="35"/>
      <c r="H190" s="35"/>
    </row>
    <row r="191" spans="1:8" x14ac:dyDescent="0.25">
      <c r="A191" s="35"/>
      <c r="B191" s="35"/>
      <c r="C191" s="35"/>
      <c r="D191" s="35"/>
      <c r="E191" s="35"/>
      <c r="F191" s="35"/>
      <c r="G191" s="35"/>
      <c r="H191" s="35"/>
    </row>
    <row r="192" spans="1:8" x14ac:dyDescent="0.25">
      <c r="A192" s="35"/>
      <c r="B192" s="35"/>
      <c r="C192" s="35"/>
      <c r="D192" s="35"/>
      <c r="E192" s="35"/>
      <c r="F192" s="35"/>
      <c r="G192" s="35"/>
      <c r="H192" s="35"/>
    </row>
    <row r="193" spans="1:8" x14ac:dyDescent="0.25">
      <c r="A193" s="35"/>
      <c r="B193" s="35"/>
      <c r="C193" s="35"/>
      <c r="D193" s="35"/>
      <c r="E193" s="35"/>
      <c r="F193" s="35"/>
      <c r="G193" s="35"/>
      <c r="H193" s="35"/>
    </row>
    <row r="194" spans="1:8" x14ac:dyDescent="0.25">
      <c r="A194" s="35"/>
      <c r="B194" s="35"/>
      <c r="C194" s="35"/>
      <c r="D194" s="35"/>
      <c r="E194" s="35"/>
      <c r="F194" s="35"/>
      <c r="G194" s="35"/>
      <c r="H194" s="35"/>
    </row>
    <row r="195" spans="1:8" x14ac:dyDescent="0.25">
      <c r="A195" s="35"/>
      <c r="B195" s="35"/>
      <c r="C195" s="35"/>
      <c r="D195" s="35"/>
      <c r="E195" s="35"/>
      <c r="F195" s="35"/>
      <c r="G195" s="35"/>
      <c r="H195" s="35"/>
    </row>
    <row r="196" spans="1:8" x14ac:dyDescent="0.25">
      <c r="A196" s="35"/>
      <c r="B196" s="35"/>
      <c r="C196" s="35"/>
      <c r="D196" s="35"/>
      <c r="E196" s="35"/>
      <c r="F196" s="35"/>
      <c r="G196" s="35"/>
      <c r="H196" s="35"/>
    </row>
    <row r="197" spans="1:8" x14ac:dyDescent="0.25">
      <c r="A197" s="35"/>
      <c r="B197" s="35"/>
      <c r="C197" s="35"/>
      <c r="D197" s="35"/>
      <c r="E197" s="35"/>
      <c r="F197" s="35"/>
      <c r="G197" s="35"/>
      <c r="H197" s="35"/>
    </row>
    <row r="198" spans="1:8" x14ac:dyDescent="0.25">
      <c r="A198" s="35"/>
      <c r="B198" s="35"/>
      <c r="C198" s="35"/>
      <c r="D198" s="35"/>
      <c r="E198" s="35"/>
      <c r="F198" s="35"/>
      <c r="G198" s="35"/>
      <c r="H198" s="35"/>
    </row>
    <row r="199" spans="1:8" x14ac:dyDescent="0.25">
      <c r="A199" s="35"/>
      <c r="B199" s="35"/>
      <c r="C199" s="35"/>
      <c r="D199" s="35"/>
      <c r="E199" s="35"/>
      <c r="F199" s="35"/>
      <c r="G199" s="35"/>
      <c r="H199" s="35"/>
    </row>
    <row r="200" spans="1:8" x14ac:dyDescent="0.25">
      <c r="A200" s="35"/>
      <c r="B200" s="35"/>
      <c r="C200" s="35"/>
      <c r="D200" s="35"/>
      <c r="E200" s="35"/>
      <c r="F200" s="35"/>
      <c r="G200" s="35"/>
      <c r="H200" s="35"/>
    </row>
    <row r="201" spans="1:8" x14ac:dyDescent="0.25">
      <c r="A201" s="35"/>
      <c r="B201" s="35"/>
      <c r="C201" s="35"/>
      <c r="D201" s="35"/>
      <c r="E201" s="35"/>
      <c r="F201" s="35"/>
      <c r="G201" s="35"/>
      <c r="H201" s="35"/>
    </row>
    <row r="202" spans="1:8" x14ac:dyDescent="0.25">
      <c r="A202" s="35"/>
      <c r="B202" s="35"/>
      <c r="C202" s="35"/>
      <c r="D202" s="35"/>
      <c r="E202" s="35"/>
      <c r="F202" s="35"/>
      <c r="G202" s="35"/>
      <c r="H202" s="35"/>
    </row>
    <row r="203" spans="1:8" x14ac:dyDescent="0.25">
      <c r="A203" s="35"/>
      <c r="B203" s="35"/>
      <c r="C203" s="35"/>
      <c r="D203" s="35"/>
      <c r="E203" s="35"/>
      <c r="F203" s="35"/>
      <c r="G203" s="35"/>
      <c r="H203" s="35"/>
    </row>
    <row r="204" spans="1:8" x14ac:dyDescent="0.25">
      <c r="A204" s="35"/>
      <c r="B204" s="35"/>
      <c r="C204" s="35"/>
      <c r="D204" s="35"/>
      <c r="E204" s="35"/>
      <c r="F204" s="35"/>
      <c r="G204" s="35"/>
      <c r="H204" s="35"/>
    </row>
    <row r="205" spans="1:8" x14ac:dyDescent="0.25">
      <c r="A205" s="35"/>
      <c r="B205" s="35"/>
      <c r="C205" s="35"/>
      <c r="D205" s="35"/>
      <c r="E205" s="35"/>
      <c r="F205" s="35"/>
      <c r="G205" s="35"/>
      <c r="H205" s="35"/>
    </row>
    <row r="206" spans="1:8" x14ac:dyDescent="0.25">
      <c r="A206" s="35"/>
      <c r="B206" s="35"/>
      <c r="C206" s="35"/>
      <c r="D206" s="35"/>
      <c r="E206" s="35"/>
      <c r="F206" s="35"/>
      <c r="G206" s="35"/>
      <c r="H206" s="35"/>
    </row>
    <row r="207" spans="1:8" x14ac:dyDescent="0.25">
      <c r="A207" s="35"/>
      <c r="B207" s="35"/>
      <c r="C207" s="35"/>
      <c r="D207" s="35"/>
      <c r="E207" s="35"/>
      <c r="F207" s="35"/>
      <c r="G207" s="35"/>
      <c r="H207" s="35"/>
    </row>
    <row r="208" spans="1:8" x14ac:dyDescent="0.25">
      <c r="A208" s="35"/>
      <c r="B208" s="35"/>
      <c r="C208" s="35"/>
      <c r="D208" s="35"/>
      <c r="E208" s="35"/>
      <c r="F208" s="35"/>
      <c r="G208" s="35"/>
      <c r="H208" s="35"/>
    </row>
    <row r="209" spans="1:8" x14ac:dyDescent="0.25">
      <c r="A209" s="35"/>
      <c r="B209" s="35"/>
      <c r="C209" s="35"/>
      <c r="D209" s="35"/>
      <c r="E209" s="35"/>
      <c r="F209" s="35"/>
      <c r="G209" s="35"/>
      <c r="H209" s="35"/>
    </row>
    <row r="210" spans="1:8" x14ac:dyDescent="0.25">
      <c r="A210" s="35"/>
      <c r="B210" s="35"/>
      <c r="C210" s="35"/>
      <c r="D210" s="35"/>
      <c r="E210" s="35"/>
      <c r="F210" s="35"/>
      <c r="G210" s="35"/>
      <c r="H210" s="35"/>
    </row>
    <row r="211" spans="1:8" x14ac:dyDescent="0.25">
      <c r="A211" s="35"/>
      <c r="B211" s="35"/>
      <c r="C211" s="35"/>
      <c r="D211" s="35"/>
      <c r="E211" s="35"/>
      <c r="F211" s="35"/>
      <c r="G211" s="35"/>
      <c r="H211" s="35"/>
    </row>
    <row r="212" spans="1:8" x14ac:dyDescent="0.25">
      <c r="A212" s="35"/>
      <c r="B212" s="35"/>
      <c r="C212" s="35"/>
      <c r="D212" s="35"/>
      <c r="E212" s="35"/>
      <c r="F212" s="35"/>
      <c r="G212" s="35"/>
      <c r="H212" s="35"/>
    </row>
    <row r="213" spans="1:8" x14ac:dyDescent="0.25">
      <c r="A213" s="35"/>
      <c r="B213" s="35"/>
      <c r="C213" s="35"/>
      <c r="D213" s="35"/>
      <c r="E213" s="35"/>
      <c r="F213" s="35"/>
      <c r="G213" s="35"/>
      <c r="H213" s="35"/>
    </row>
    <row r="214" spans="1:8" x14ac:dyDescent="0.25">
      <c r="A214" s="35"/>
      <c r="B214" s="35"/>
      <c r="C214" s="35"/>
      <c r="D214" s="35"/>
      <c r="E214" s="35"/>
      <c r="F214" s="35"/>
      <c r="G214" s="35"/>
      <c r="H214" s="35"/>
    </row>
    <row r="215" spans="1:8" x14ac:dyDescent="0.25">
      <c r="A215" s="35"/>
      <c r="B215" s="35"/>
      <c r="C215" s="35"/>
      <c r="D215" s="35"/>
      <c r="E215" s="35"/>
      <c r="F215" s="35"/>
      <c r="G215" s="35"/>
      <c r="H215" s="35"/>
    </row>
    <row r="216" spans="1:8" x14ac:dyDescent="0.25">
      <c r="A216" s="35"/>
      <c r="B216" s="35"/>
      <c r="C216" s="35"/>
      <c r="D216" s="35"/>
      <c r="E216" s="35"/>
      <c r="F216" s="35"/>
      <c r="G216" s="35"/>
      <c r="H216" s="35"/>
    </row>
    <row r="217" spans="1:8" x14ac:dyDescent="0.25">
      <c r="A217" s="35"/>
      <c r="B217" s="35"/>
      <c r="C217" s="35"/>
      <c r="D217" s="35"/>
      <c r="E217" s="35"/>
      <c r="F217" s="35"/>
      <c r="G217" s="35"/>
      <c r="H217" s="35"/>
    </row>
    <row r="218" spans="1:8" x14ac:dyDescent="0.25">
      <c r="A218" s="35"/>
      <c r="B218" s="35"/>
      <c r="C218" s="35"/>
      <c r="D218" s="35"/>
      <c r="E218" s="35"/>
      <c r="F218" s="35"/>
      <c r="G218" s="35"/>
      <c r="H218" s="35"/>
    </row>
    <row r="219" spans="1:8" x14ac:dyDescent="0.25">
      <c r="A219" s="35"/>
      <c r="B219" s="35"/>
      <c r="C219" s="35"/>
      <c r="D219" s="35"/>
      <c r="E219" s="35"/>
      <c r="F219" s="35"/>
      <c r="G219" s="35"/>
      <c r="H219" s="35"/>
    </row>
    <row r="220" spans="1:8" x14ac:dyDescent="0.25">
      <c r="A220" s="35"/>
      <c r="B220" s="35"/>
      <c r="C220" s="35"/>
      <c r="D220" s="35"/>
      <c r="E220" s="35"/>
      <c r="F220" s="35"/>
      <c r="G220" s="35"/>
      <c r="H220" s="35"/>
    </row>
    <row r="221" spans="1:8" x14ac:dyDescent="0.25">
      <c r="A221" s="35"/>
      <c r="B221" s="35"/>
      <c r="C221" s="35"/>
      <c r="D221" s="35"/>
      <c r="E221" s="35"/>
      <c r="F221" s="35"/>
      <c r="G221" s="35"/>
      <c r="H221" s="35"/>
    </row>
  </sheetData>
  <customSheetViews>
    <customSheetView guid="{D18E9169-ADA2-4392-B488-25F4D67B7B23}" state="hidden" topLeftCell="A109">
      <selection activeCell="L130" sqref="L130"/>
      <pageMargins left="0.511811024" right="0.511811024" top="0.78740157499999996" bottom="0.78740157499999996" header="0.31496062000000002" footer="0.31496062000000002"/>
      <pageSetup paperSize="9" orientation="portrait" r:id="rId1"/>
    </customSheetView>
    <customSheetView guid="{89F529CE-CEE2-4840-81F9-3A5B94AB5264}" state="hidden" topLeftCell="A10">
      <selection activeCell="G36" sqref="G36"/>
      <pageMargins left="0.511811024" right="0.511811024" top="0.78740157499999996" bottom="0.78740157499999996" header="0.31496062000000002" footer="0.31496062000000002"/>
    </customSheetView>
    <customSheetView guid="{F8BE6937-468A-4F6A-8E70-5AA120E9866E}" state="hidden" topLeftCell="A10">
      <selection activeCell="G36" sqref="G36"/>
      <pageMargins left="0.511811024" right="0.511811024" top="0.78740157499999996" bottom="0.78740157499999996" header="0.31496062000000002" footer="0.31496062000000002"/>
    </customSheetView>
    <customSheetView guid="{0E0A957C-04A9-42C8-ABA3-3513FC1F301B}" state="hidden">
      <selection activeCell="M14" sqref="M14"/>
      <pageMargins left="0.511811024" right="0.511811024" top="0.78740157499999996" bottom="0.78740157499999996" header="0.31496062000000002" footer="0.31496062000000002"/>
    </customSheetView>
    <customSheetView guid="{49F7AF24-77AB-4269-A110-0D2F07E12FB4}" state="hidden">
      <selection activeCell="M14" sqref="M14"/>
      <pageMargins left="0.511811024" right="0.511811024" top="0.78740157499999996" bottom="0.78740157499999996" header="0.31496062000000002" footer="0.31496062000000002"/>
    </customSheetView>
    <customSheetView guid="{52DD4558-3C21-4CE8-A3CE-4A7295AB0882}" state="hidden">
      <selection activeCell="M14" sqref="M14"/>
      <pageMargins left="0.511811024" right="0.511811024" top="0.78740157499999996" bottom="0.78740157499999996" header="0.31496062000000002" footer="0.31496062000000002"/>
    </customSheetView>
    <customSheetView guid="{05BCE999-CA29-460C-9019-42DEAB5D08DA}" state="hidden" topLeftCell="A10">
      <selection activeCell="G36" sqref="G36"/>
      <pageMargins left="0.511811024" right="0.511811024" top="0.78740157499999996" bottom="0.78740157499999996" header="0.31496062000000002" footer="0.31496062000000002"/>
    </customSheetView>
    <customSheetView guid="{E5F88B68-4013-43BC-91FC-4D1B4BE2D858}" state="hidden" topLeftCell="A35">
      <selection activeCell="J49" sqref="J49"/>
      <pageMargins left="0.511811024" right="0.511811024" top="0.78740157499999996" bottom="0.78740157499999996" header="0.31496062000000002" footer="0.31496062000000002"/>
    </customSheetView>
    <customSheetView guid="{748ECF6D-D04A-4335-B743-F87DF6CB7A38}" state="hidden" topLeftCell="A91">
      <selection activeCell="H61" sqref="H61"/>
      <pageMargins left="0.511811024" right="0.511811024" top="0.78740157499999996" bottom="0.78740157499999996" header="0.31496062000000002" footer="0.31496062000000002"/>
    </customSheetView>
    <customSheetView guid="{74C1666D-8424-4791-9A03-96D64996021D}" state="hidden" topLeftCell="A91">
      <selection activeCell="G115" sqref="G115"/>
      <pageMargins left="0.511811024" right="0.511811024" top="0.78740157499999996" bottom="0.78740157499999996" header="0.31496062000000002" footer="0.31496062000000002"/>
    </customSheetView>
  </customSheetViews>
  <mergeCells count="102">
    <mergeCell ref="B2:F2"/>
    <mergeCell ref="B3:F3"/>
    <mergeCell ref="B4:F4"/>
    <mergeCell ref="B5:F5"/>
    <mergeCell ref="B6:F6"/>
    <mergeCell ref="B7:F7"/>
    <mergeCell ref="B14:F14"/>
    <mergeCell ref="B15:F15"/>
    <mergeCell ref="B16:F16"/>
    <mergeCell ref="B20:F20"/>
    <mergeCell ref="B21:F21"/>
    <mergeCell ref="B22:F22"/>
    <mergeCell ref="B23:F23"/>
    <mergeCell ref="B24:F24"/>
    <mergeCell ref="B17:F17"/>
    <mergeCell ref="B18:F18"/>
    <mergeCell ref="B19:F19"/>
    <mergeCell ref="B8:F8"/>
    <mergeCell ref="B9:F9"/>
    <mergeCell ref="B10:F10"/>
    <mergeCell ref="B11:F11"/>
    <mergeCell ref="B12:F12"/>
    <mergeCell ref="B13:F13"/>
    <mergeCell ref="B31:F31"/>
    <mergeCell ref="B32:F32"/>
    <mergeCell ref="B33:F33"/>
    <mergeCell ref="B34:F34"/>
    <mergeCell ref="B35:F35"/>
    <mergeCell ref="B36:F36"/>
    <mergeCell ref="B25:F25"/>
    <mergeCell ref="B26:F26"/>
    <mergeCell ref="B27:F27"/>
    <mergeCell ref="B28:F28"/>
    <mergeCell ref="B29:F29"/>
    <mergeCell ref="B30:F30"/>
    <mergeCell ref="B42:F42"/>
    <mergeCell ref="B43:F43"/>
    <mergeCell ref="B44:F44"/>
    <mergeCell ref="B45:F45"/>
    <mergeCell ref="B46:F46"/>
    <mergeCell ref="B47:F47"/>
    <mergeCell ref="B37:F37"/>
    <mergeCell ref="B38:F38"/>
    <mergeCell ref="B39:F39"/>
    <mergeCell ref="B40:F40"/>
    <mergeCell ref="B41:F41"/>
    <mergeCell ref="B54:F54"/>
    <mergeCell ref="B55:F55"/>
    <mergeCell ref="B56:F56"/>
    <mergeCell ref="B57:F57"/>
    <mergeCell ref="B58:F58"/>
    <mergeCell ref="B48:F48"/>
    <mergeCell ref="B49:F49"/>
    <mergeCell ref="B50:F50"/>
    <mergeCell ref="B51:F51"/>
    <mergeCell ref="B52:F52"/>
    <mergeCell ref="B53:F53"/>
    <mergeCell ref="B65:F65"/>
    <mergeCell ref="B66:F66"/>
    <mergeCell ref="B67:F67"/>
    <mergeCell ref="B68:F68"/>
    <mergeCell ref="B69:F69"/>
    <mergeCell ref="B59:F59"/>
    <mergeCell ref="B60:F60"/>
    <mergeCell ref="B61:F61"/>
    <mergeCell ref="B62:F62"/>
    <mergeCell ref="B63:F63"/>
    <mergeCell ref="B64:F64"/>
    <mergeCell ref="B76:F76"/>
    <mergeCell ref="B77:F77"/>
    <mergeCell ref="B78:F78"/>
    <mergeCell ref="B79:F79"/>
    <mergeCell ref="B80:F80"/>
    <mergeCell ref="B81:F81"/>
    <mergeCell ref="B70:F70"/>
    <mergeCell ref="B71:F71"/>
    <mergeCell ref="B72:F72"/>
    <mergeCell ref="B73:F73"/>
    <mergeCell ref="B74:F74"/>
    <mergeCell ref="B75:F75"/>
    <mergeCell ref="B88:F88"/>
    <mergeCell ref="B89:F89"/>
    <mergeCell ref="B90:F90"/>
    <mergeCell ref="B91:F91"/>
    <mergeCell ref="B92:F92"/>
    <mergeCell ref="B93:F93"/>
    <mergeCell ref="B82:F82"/>
    <mergeCell ref="B83:F83"/>
    <mergeCell ref="B84:F84"/>
    <mergeCell ref="B85:F85"/>
    <mergeCell ref="B86:F86"/>
    <mergeCell ref="B87:F87"/>
    <mergeCell ref="B102:F102"/>
    <mergeCell ref="B103:F103"/>
    <mergeCell ref="B100:F100"/>
    <mergeCell ref="B101:F101"/>
    <mergeCell ref="B94:F94"/>
    <mergeCell ref="B95:F95"/>
    <mergeCell ref="B96:F96"/>
    <mergeCell ref="B97:F97"/>
    <mergeCell ref="B98:F98"/>
    <mergeCell ref="B99:F99"/>
  </mergeCells>
  <pageMargins left="0.511811024" right="0.511811024" top="0.78740157499999996" bottom="0.78740157499999996" header="0.31496062000000002" footer="0.31496062000000002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Plan1</vt:lpstr>
      <vt:lpstr>Plan2</vt:lpstr>
      <vt:lpstr>Senha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Online2PDF.com</dc:creator>
  <cp:lastModifiedBy>Ana Carolina Silva Scainoni</cp:lastModifiedBy>
  <cp:lastPrinted>2018-07-03T14:13:15Z</cp:lastPrinted>
  <dcterms:created xsi:type="dcterms:W3CDTF">2015-03-31T18:12:24Z</dcterms:created>
  <dcterms:modified xsi:type="dcterms:W3CDTF">2019-02-27T19:56:24Z</dcterms:modified>
</cp:coreProperties>
</file>